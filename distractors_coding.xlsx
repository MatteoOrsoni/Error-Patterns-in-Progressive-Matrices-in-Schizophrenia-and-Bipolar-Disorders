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mgno\Downloads\"/>
    </mc:Choice>
  </mc:AlternateContent>
  <xr:revisionPtr revIDLastSave="0" documentId="11_2E80146EEC3713433C328320FCE24A8FD8627734" xr6:coauthVersionLast="47" xr6:coauthVersionMax="47" xr10:uidLastSave="{00000000-0000-0000-0000-000000000000}"/>
  <bookViews>
    <workbookView xWindow="-110" yWindow="-110" windowWidth="25820" windowHeight="15500" tabRatio="500" activeTab="3" xr2:uid="{00000000-000D-0000-FFFF-FFFF00000000}"/>
  </bookViews>
  <sheets>
    <sheet name="README" sheetId="1" r:id="rId1"/>
    <sheet name="Consensus" sheetId="2" r:id="rId2"/>
    <sheet name="Rater_codes" sheetId="3" r:id="rId3"/>
    <sheet name="Agreement" sheetId="4" r:id="rId4"/>
  </sheets>
  <definedNames>
    <definedName name="_xlnm._FilterDatabase" localSheetId="1" hidden="1">Consensus!$A$1:$O$127</definedName>
    <definedName name="_xlnm._FilterDatabase" localSheetId="2" hidden="1">Rater_codes!$A$1:$T$127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4" l="1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T127" i="3"/>
  <c r="L127" i="3"/>
  <c r="T126" i="3"/>
  <c r="L126" i="3"/>
  <c r="T125" i="3"/>
  <c r="L125" i="3"/>
  <c r="T124" i="3"/>
  <c r="L124" i="3"/>
  <c r="T123" i="3"/>
  <c r="L123" i="3"/>
  <c r="T122" i="3"/>
  <c r="L122" i="3"/>
  <c r="T121" i="3"/>
  <c r="L121" i="3"/>
  <c r="T120" i="3"/>
  <c r="L120" i="3"/>
  <c r="T119" i="3"/>
  <c r="L119" i="3"/>
  <c r="T118" i="3"/>
  <c r="L118" i="3"/>
  <c r="T117" i="3"/>
  <c r="L117" i="3"/>
  <c r="T116" i="3"/>
  <c r="L116" i="3"/>
  <c r="T115" i="3"/>
  <c r="L115" i="3"/>
  <c r="T114" i="3"/>
  <c r="L114" i="3"/>
  <c r="T113" i="3"/>
  <c r="L113" i="3"/>
  <c r="T112" i="3"/>
  <c r="L112" i="3"/>
  <c r="T111" i="3"/>
  <c r="L111" i="3"/>
  <c r="T110" i="3"/>
  <c r="L110" i="3"/>
  <c r="T109" i="3"/>
  <c r="L109" i="3"/>
  <c r="T108" i="3"/>
  <c r="L108" i="3"/>
  <c r="T107" i="3"/>
  <c r="L107" i="3"/>
  <c r="T106" i="3"/>
  <c r="L106" i="3"/>
  <c r="T105" i="3"/>
  <c r="L105" i="3"/>
  <c r="T104" i="3"/>
  <c r="L104" i="3"/>
  <c r="T103" i="3"/>
  <c r="L103" i="3"/>
  <c r="T102" i="3"/>
  <c r="L102" i="3"/>
  <c r="T101" i="3"/>
  <c r="L101" i="3"/>
  <c r="T100" i="3"/>
  <c r="L100" i="3"/>
  <c r="T99" i="3"/>
  <c r="L99" i="3"/>
  <c r="T98" i="3"/>
  <c r="L98" i="3"/>
  <c r="T97" i="3"/>
  <c r="L97" i="3"/>
  <c r="T96" i="3"/>
  <c r="L96" i="3"/>
  <c r="T95" i="3"/>
  <c r="L95" i="3"/>
  <c r="T94" i="3"/>
  <c r="L94" i="3"/>
  <c r="T93" i="3"/>
  <c r="L93" i="3"/>
  <c r="T92" i="3"/>
  <c r="L92" i="3"/>
  <c r="T91" i="3"/>
  <c r="L91" i="3"/>
  <c r="T90" i="3"/>
  <c r="L90" i="3"/>
  <c r="T89" i="3"/>
  <c r="L89" i="3"/>
  <c r="T88" i="3"/>
  <c r="L88" i="3"/>
  <c r="T87" i="3"/>
  <c r="L87" i="3"/>
  <c r="T86" i="3"/>
  <c r="L86" i="3"/>
  <c r="T85" i="3"/>
  <c r="L85" i="3"/>
  <c r="T84" i="3"/>
  <c r="L84" i="3"/>
  <c r="T83" i="3"/>
  <c r="L83" i="3"/>
  <c r="T82" i="3"/>
  <c r="L82" i="3"/>
  <c r="T81" i="3"/>
  <c r="L81" i="3"/>
  <c r="T80" i="3"/>
  <c r="L80" i="3"/>
  <c r="T79" i="3"/>
  <c r="L79" i="3"/>
  <c r="T78" i="3"/>
  <c r="L78" i="3"/>
  <c r="T77" i="3"/>
  <c r="L77" i="3"/>
  <c r="T76" i="3"/>
  <c r="L76" i="3"/>
  <c r="T75" i="3"/>
  <c r="L75" i="3"/>
  <c r="T74" i="3"/>
  <c r="L74" i="3"/>
  <c r="T73" i="3"/>
  <c r="L73" i="3"/>
  <c r="T72" i="3"/>
  <c r="L72" i="3"/>
  <c r="T71" i="3"/>
  <c r="L71" i="3"/>
  <c r="T70" i="3"/>
  <c r="L70" i="3"/>
  <c r="T69" i="3"/>
  <c r="L69" i="3"/>
  <c r="T68" i="3"/>
  <c r="L68" i="3"/>
  <c r="T67" i="3"/>
  <c r="L67" i="3"/>
  <c r="T66" i="3"/>
  <c r="L66" i="3"/>
  <c r="T65" i="3"/>
  <c r="L65" i="3"/>
  <c r="T64" i="3"/>
  <c r="L64" i="3"/>
  <c r="T63" i="3"/>
  <c r="L63" i="3"/>
  <c r="T62" i="3"/>
  <c r="L62" i="3"/>
  <c r="T61" i="3"/>
  <c r="L61" i="3"/>
  <c r="T60" i="3"/>
  <c r="L60" i="3"/>
  <c r="T59" i="3"/>
  <c r="L59" i="3"/>
  <c r="T58" i="3"/>
  <c r="L58" i="3"/>
  <c r="T57" i="3"/>
  <c r="L57" i="3"/>
  <c r="T56" i="3"/>
  <c r="L56" i="3"/>
  <c r="T55" i="3"/>
  <c r="L55" i="3"/>
  <c r="T54" i="3"/>
  <c r="L54" i="3"/>
  <c r="T53" i="3"/>
  <c r="L53" i="3"/>
  <c r="T52" i="3"/>
  <c r="L52" i="3"/>
  <c r="T51" i="3"/>
  <c r="L51" i="3"/>
  <c r="T50" i="3"/>
  <c r="L50" i="3"/>
  <c r="T49" i="3"/>
  <c r="L49" i="3"/>
  <c r="T48" i="3"/>
  <c r="L48" i="3"/>
  <c r="T47" i="3"/>
  <c r="L47" i="3"/>
  <c r="T46" i="3"/>
  <c r="L46" i="3"/>
  <c r="T45" i="3"/>
  <c r="L45" i="3"/>
  <c r="T44" i="3"/>
  <c r="L44" i="3"/>
  <c r="T43" i="3"/>
  <c r="L43" i="3"/>
  <c r="T42" i="3"/>
  <c r="L42" i="3"/>
  <c r="T41" i="3"/>
  <c r="L41" i="3"/>
  <c r="T40" i="3"/>
  <c r="L40" i="3"/>
  <c r="T39" i="3"/>
  <c r="L39" i="3"/>
  <c r="T38" i="3"/>
  <c r="L38" i="3"/>
  <c r="T37" i="3"/>
  <c r="L37" i="3"/>
  <c r="T36" i="3"/>
  <c r="L36" i="3"/>
  <c r="T35" i="3"/>
  <c r="L35" i="3"/>
  <c r="T34" i="3"/>
  <c r="L34" i="3"/>
  <c r="T33" i="3"/>
  <c r="L33" i="3"/>
  <c r="T32" i="3"/>
  <c r="L32" i="3"/>
  <c r="T31" i="3"/>
  <c r="L31" i="3"/>
  <c r="T30" i="3"/>
  <c r="L30" i="3"/>
  <c r="T29" i="3"/>
  <c r="L29" i="3"/>
  <c r="T28" i="3"/>
  <c r="L28" i="3"/>
  <c r="T27" i="3"/>
  <c r="L27" i="3"/>
  <c r="T26" i="3"/>
  <c r="L26" i="3"/>
  <c r="T25" i="3"/>
  <c r="L25" i="3"/>
  <c r="T24" i="3"/>
  <c r="L24" i="3"/>
  <c r="T23" i="3"/>
  <c r="L23" i="3"/>
  <c r="T22" i="3"/>
  <c r="L22" i="3"/>
  <c r="T21" i="3"/>
  <c r="L21" i="3"/>
  <c r="T20" i="3"/>
  <c r="L20" i="3"/>
  <c r="T19" i="3"/>
  <c r="L19" i="3"/>
  <c r="T18" i="3"/>
  <c r="L18" i="3"/>
  <c r="T17" i="3"/>
  <c r="L17" i="3"/>
  <c r="T16" i="3"/>
  <c r="L16" i="3"/>
  <c r="T15" i="3"/>
  <c r="L15" i="3"/>
  <c r="T14" i="3"/>
  <c r="L14" i="3"/>
  <c r="T13" i="3"/>
  <c r="L13" i="3"/>
  <c r="T12" i="3"/>
  <c r="L12" i="3"/>
  <c r="T11" i="3"/>
  <c r="L11" i="3"/>
  <c r="T10" i="3"/>
  <c r="L10" i="3"/>
  <c r="T9" i="3"/>
  <c r="L9" i="3"/>
  <c r="T8" i="3"/>
  <c r="L8" i="3"/>
  <c r="T7" i="3"/>
  <c r="L7" i="3"/>
  <c r="T6" i="3"/>
  <c r="L6" i="3"/>
  <c r="T5" i="3"/>
  <c r="L5" i="3"/>
  <c r="T4" i="3"/>
  <c r="L4" i="3"/>
  <c r="T3" i="3"/>
  <c r="L3" i="3"/>
  <c r="T2" i="3"/>
  <c r="D26" i="4" s="1"/>
  <c r="L2" i="3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4" i="2"/>
  <c r="M4" i="2"/>
  <c r="N3" i="2"/>
  <c r="M3" i="2"/>
  <c r="N2" i="2"/>
  <c r="M2" i="2"/>
  <c r="B26" i="4" l="1"/>
  <c r="B7" i="4"/>
  <c r="C26" i="4"/>
  <c r="B25" i="4"/>
  <c r="B27" i="4" s="1"/>
  <c r="B28" i="4" s="1"/>
  <c r="B6" i="4"/>
  <c r="B5" i="4"/>
  <c r="B44" i="4"/>
  <c r="B43" i="4"/>
  <c r="B42" i="4"/>
  <c r="B41" i="4"/>
  <c r="B40" i="4"/>
  <c r="B30" i="4"/>
  <c r="D25" i="4"/>
  <c r="D27" i="4" s="1"/>
  <c r="C25" i="4"/>
  <c r="D19" i="4" l="1"/>
  <c r="E19" i="4" s="1"/>
  <c r="D20" i="4"/>
  <c r="E20" i="4" s="1"/>
  <c r="D21" i="4"/>
  <c r="E21" i="4" s="1"/>
  <c r="B29" i="4"/>
  <c r="C29" i="4"/>
  <c r="C33" i="4" s="1"/>
  <c r="D29" i="4"/>
  <c r="D33" i="4" s="1"/>
  <c r="B8" i="4"/>
  <c r="B9" i="4"/>
  <c r="B10" i="4"/>
  <c r="D15" i="4"/>
  <c r="E15" i="4" s="1"/>
  <c r="D16" i="4"/>
  <c r="E16" i="4" s="1"/>
  <c r="D17" i="4"/>
  <c r="E17" i="4" s="1"/>
  <c r="D18" i="4"/>
  <c r="E18" i="4" s="1"/>
  <c r="C27" i="4"/>
  <c r="B32" i="4"/>
  <c r="D30" i="4"/>
  <c r="D28" i="4"/>
  <c r="D32" i="4" s="1"/>
  <c r="C28" i="4" l="1"/>
  <c r="C32" i="4" s="1"/>
  <c r="C30" i="4"/>
  <c r="C31" i="4" s="1"/>
  <c r="C34" i="4" s="1"/>
  <c r="B36" i="4"/>
  <c r="B12" i="4" s="1"/>
  <c r="B35" i="4"/>
  <c r="B11" i="4" s="1"/>
  <c r="D36" i="4"/>
  <c r="D35" i="4"/>
  <c r="D31" i="4"/>
  <c r="D34" i="4" s="1"/>
  <c r="B33" i="4"/>
  <c r="B31" i="4"/>
  <c r="B34" i="4" s="1"/>
  <c r="C36" i="4" l="1"/>
  <c r="C35" i="4"/>
</calcChain>
</file>

<file path=xl/sharedStrings.xml><?xml version="1.0" encoding="utf-8"?>
<sst xmlns="http://schemas.openxmlformats.org/spreadsheetml/2006/main" count="866" uniqueCount="228">
  <si>
    <t>MatriKS distractor coding: distance of each distractor from the correct response</t>
  </si>
  <si>
    <t>Content</t>
  </si>
  <si>
    <t>Coding of the 126 distractors (18 items × 7) used in the distractor-distance analyses. Definition and procedure: Section 2.2.4 of the manuscript. Coding rules (R1–R14): Appendix G, Table G. Analyses: Section 2.3.3.3 and Appendix H.</t>
  </si>
  <si>
    <t>Sheets</t>
  </si>
  <si>
    <t>Consensus</t>
  </si>
  <si>
    <t>Final codes used in the analyses, with the rationale for each distractor. Values are identical to data/distractor_distance.csv (same rows, same column names).</t>
  </si>
  <si>
    <t>Rater_codes</t>
  </si>
  <si>
    <t>Independent codes of the two raters (MO, OE), before discussion.</t>
  </si>
  <si>
    <t>Agreement</t>
  </si>
  <si>
    <t>Inter-rater agreement on the independent codes, and comparison of the consensus with each rater (reported in Section 2.2.4). All values are formulas on the other two sheets.</t>
  </si>
  <si>
    <t>Columns</t>
  </si>
  <si>
    <t>matriks12_item, matriks88_item</t>
  </si>
  <si>
    <t>Item number in MatriKS 12+ and in MatriKS88 (same stimulus).</t>
  </si>
  <si>
    <t>distractor</t>
  </si>
  <si>
    <t>Response label recorded by MatriKS for the option (see data/README.md).</t>
  </si>
  <si>
    <t>category</t>
  </si>
  <si>
    <t>R = repetition, D = difference, IC = incomplete correlate, WP = wrong principle.</t>
  </si>
  <si>
    <t>matrix_type</t>
  </si>
  <si>
    <t>slot or logical (Table G, R3).</t>
  </si>
  <si>
    <t>missing … orientation</t>
  </si>
  <si>
    <t>Number of departures from the correct response on each of the seven features (Table G, Panel A). A feature can score more than 1.</t>
  </si>
  <si>
    <t>distance</t>
  </si>
  <si>
    <t>Sum of the seven counts (formula).</t>
  </si>
  <si>
    <t>features_changed</t>
  </si>
  <si>
    <t>Number of features with at least one departure, 0–7 (formula).</t>
  </si>
  <si>
    <t>rationale</t>
  </si>
  <si>
    <t>Reason for the consensus codes; rule codes (R1–R14) refer to Table G.</t>
  </si>
  <si>
    <t>matriks12_item</t>
  </si>
  <si>
    <t>matriks88_item</t>
  </si>
  <si>
    <t>missing</t>
  </si>
  <si>
    <t>added</t>
  </si>
  <si>
    <t>shape</t>
  </si>
  <si>
    <t>size</t>
  </si>
  <si>
    <t>fill</t>
  </si>
  <si>
    <t>line</t>
  </si>
  <si>
    <t>orientation</t>
  </si>
  <si>
    <t>d.union</t>
  </si>
  <si>
    <t>D</t>
  </si>
  <si>
    <t>slot</t>
  </si>
  <si>
    <t>Triangle → square; the four outer dots are added (one group).</t>
  </si>
  <si>
    <t>ic.flip</t>
  </si>
  <si>
    <t>IC</t>
  </si>
  <si>
    <t>Triangle upside down. The dot has no orientation: one change only.</t>
  </si>
  <si>
    <t>ic.inc</t>
  </si>
  <si>
    <t>Dot missing.</t>
  </si>
  <si>
    <t>ic.scale</t>
  </si>
  <si>
    <t>Smaller dot; triangle unchanged.</t>
  </si>
  <si>
    <t>r.diag</t>
  </si>
  <si>
    <t>R</t>
  </si>
  <si>
    <t>Triangle → hourglass in the same slot; dot unchanged.</t>
  </si>
  <si>
    <t>wp.copy</t>
  </si>
  <si>
    <t>WP</t>
  </si>
  <si>
    <t>Triangle → square.</t>
  </si>
  <si>
    <t>wp.matrix</t>
  </si>
  <si>
    <t>Triangle → square (or hourglass); the other figure is added.</t>
  </si>
  <si>
    <t>Square → hexagon; X → one of the two central figures (lemniscate or hourglass); the other is added.</t>
  </si>
  <si>
    <t>Only the X rotates (becomes +): one change.</t>
  </si>
  <si>
    <t>Square missing.</t>
  </si>
  <si>
    <t>Square → hexagon; X → + (45° rotation).</t>
  </si>
  <si>
    <t>r.top</t>
  </si>
  <si>
    <t>Square → hexagon; X unchanged.</t>
  </si>
  <si>
    <t>Square → pentagon; X → +.</t>
  </si>
  <si>
    <t>Square → pentagon; the X matches the small X in the hexagon (size); the long + and the small hexagon are added.</t>
  </si>
  <si>
    <t>Cross → rectangle ('outline' slot); dot unchanged.</t>
  </si>
  <si>
    <t>Smaller cross; dot unchanged.</t>
  </si>
  <si>
    <t>Cross → four corner dots (same 'outline' slot); central dot unchanged.</t>
  </si>
  <si>
    <t>r.left</t>
  </si>
  <si>
    <t>Cross missing; dot → quatrefoil. Fill not counted: in this matrix it is tied to shape (the quatrefoil is always empty, dot and rhombus always filled).</t>
  </si>
  <si>
    <t>Dot → black rhombus; size not counted across different shapes when it is not a rule of the matrix.</t>
  </si>
  <si>
    <t>Cross → four dots; quatrefoil added; dot unchanged.</t>
  </si>
  <si>
    <t>Rhombus → square; X → quatrefoil (same slot); four dots added.</t>
  </si>
  <si>
    <t>X missing.</t>
  </si>
  <si>
    <t>Smaller X, inside the rhombus.</t>
  </si>
  <si>
    <t>X → + (rotation).</t>
  </si>
  <si>
    <t>Rhombus → grey hexagon; X unchanged.</t>
  </si>
  <si>
    <t>Rhombus → square; X → +.</t>
  </si>
  <si>
    <t>Rhombus → square; X → +; small white square and four small dots added.</t>
  </si>
  <si>
    <t>Pentagon → square; pac-man added; small square unchanged.</t>
  </si>
  <si>
    <t>Small square rotated by 45°.</t>
  </si>
  <si>
    <t>Small square missing.</t>
  </si>
  <si>
    <t>Pentagon → circle; small square unchanged.</t>
  </si>
  <si>
    <t>Pentagon → square; small square → small circle (same size class: size unchanged).</t>
  </si>
  <si>
    <t>Small square → small circle.</t>
  </si>
  <si>
    <t>Pentagon → one of the three outer figures; the other two and the small circle are added; small square unchanged.</t>
  </si>
  <si>
    <t>Butterfly dotted; four dots added; black circle unchanged.</t>
  </si>
  <si>
    <t>Circle missing.</t>
  </si>
  <si>
    <t>ic.neg</t>
  </si>
  <si>
    <t>Circle from black to white.</t>
  </si>
  <si>
    <t>Butterfly dashed; circle white.</t>
  </si>
  <si>
    <t>Rectangle → pentagon; butterfly from solid to dotted; circle from black to grey.</t>
  </si>
  <si>
    <t>Rectangle → pentagon.</t>
  </si>
  <si>
    <t>Pentagon added (the rectangle remains); butterfly dotted; circle grey.</t>
  </si>
  <si>
    <t>Same pac-man, black and large; circle with cross added.</t>
  </si>
  <si>
    <t>Only the pac-man rotates: one change.</t>
  </si>
  <si>
    <t>Black pac-man.</t>
  </si>
  <si>
    <t>Pac-man → rhombus, white to black.</t>
  </si>
  <si>
    <t>Pac-man → circle, white to black, small to medium: shape, fill and size are three rules of the matrix.</t>
  </si>
  <si>
    <t>Pac-man → large circle.</t>
  </si>
  <si>
    <t>Pac-man → small grey circle (the matching with fewest differences); black circle added.</t>
  </si>
  <si>
    <t>logical</t>
  </si>
  <si>
    <t>Circle, horizontal line and curve added.</t>
  </si>
  <si>
    <t>The distractor is the correct response rotated: 1 on orientation (R7), as defined by the IC-Flip generative rule.</t>
  </si>
  <si>
    <t>One diagonal missing.</t>
  </si>
  <si>
    <t>Horizontal line added.</t>
  </si>
  <si>
    <t>Circle added.</t>
  </si>
  <si>
    <t>Horizontal and vertical lines added (they appear separately in the matrix, hence 2).</t>
  </si>
  <si>
    <t>Circle, horizontal and vertical lines added.</t>
  </si>
  <si>
    <t>Square from dashed to solid; cross and hourglass added.</t>
  </si>
  <si>
    <t>Square rotated by 45°.</t>
  </si>
  <si>
    <t>Smaller square.</t>
  </si>
  <si>
    <t>Dashed square present; solid square, cross and four dots added.</t>
  </si>
  <si>
    <t>Solid square added.</t>
  </si>
  <si>
    <t>Dashed square missing; cross and four dots added (logical matrix: no replacement).</t>
  </si>
  <si>
    <t>Square from dashed to dotted; cross added.</t>
  </si>
  <si>
    <t>Pac-man missing; vertical lines and circle with cross added (logical matrix: no replacement).</t>
  </si>
  <si>
    <t>Pac-man rotated.</t>
  </si>
  <si>
    <t>Pac-man without 'mouth' (missing part).</t>
  </si>
  <si>
    <t>Vertical lines, grey pentagon and dot added (the grey of the pentagon is not counted).</t>
  </si>
  <si>
    <t>Grey pentagon added.</t>
  </si>
  <si>
    <t>Pac-man missing; vertical lines and dot added.</t>
  </si>
  <si>
    <t>Lines, pentagon and dot added; pac-man rotated.</t>
  </si>
  <si>
    <t>Cross-shaped dots missing; corner dots and lemniscate added.</t>
  </si>
  <si>
    <t>One dot missing.</t>
  </si>
  <si>
    <t>Corner dots, central dot and X added.</t>
  </si>
  <si>
    <t>Central dot added.</t>
  </si>
  <si>
    <t>Cross-shaped dots missing; corner dots (a distinct element of the matrix) and X present.</t>
  </si>
  <si>
    <t>Cross-shaped dots missing; corner dots, small dots, small X and central dot added.</t>
  </si>
  <si>
    <t>Striped square missing; left side, bottom side, horizontal line and curve added.</t>
  </si>
  <si>
    <t>Stripes of the square in the other direction.</t>
  </si>
  <si>
    <t>Right side missing.</t>
  </si>
  <si>
    <t>Left side, bottom side, two horizontal lines and pentagon added.</t>
  </si>
  <si>
    <t>Left side and one horizontal line added.</t>
  </si>
  <si>
    <t>Striped square missing; top side, left side, horizontal line and pentagon added.</t>
  </si>
  <si>
    <t>Striped square missing; three sides, two horizontal lines and pentagon added.</t>
  </si>
  <si>
    <t>Left vertical missing; right vertical, bottom horizontal, top-right circle and bar in the central circle added.</t>
  </si>
  <si>
    <t>X rotated (+).</t>
  </si>
  <si>
    <t>Top horizontal missing; bottom horizontal, right vertical and bottom-left X added. Grid lines in different positions are different elements.</t>
  </si>
  <si>
    <t>Left vertical, top horizontal and central circle missing; right vertical, bottom horizontal, top-right circle and bottom-left X added.</t>
  </si>
  <si>
    <t>Left vertical and central circle missing; right vertical, bottom horizontal, top-right circle and bottom-left X added.</t>
  </si>
  <si>
    <t>Right vertical, bottom horizontal and top-right circle added.</t>
  </si>
  <si>
    <t>Right triangle and four dots missing; top triangle added.</t>
  </si>
  <si>
    <t>Vertical missing.</t>
  </si>
  <si>
    <t>Large dot, horizontal and four dots missing; three triangles added.</t>
  </si>
  <si>
    <t>Large dot and horizontal missing; bottom triangle added.</t>
  </si>
  <si>
    <t>Large dot, horizontal, vertical and right triangle missing; top and left triangles added.</t>
  </si>
  <si>
    <t>Horizontal, vertical, right triangle and four dots missing; top and bottom triangles added.</t>
  </si>
  <si>
    <t>Right side missing; top chord and vertical line added.</t>
  </si>
  <si>
    <t>Circle with chord rotated by 90°.</t>
  </si>
  <si>
    <t>Bottom side missing; hexagon added (its black fill is not counted).</t>
  </si>
  <si>
    <t>Bottom chord missing; top chord and hexagon added (the two chords are distinct elements of the matrix).</t>
  </si>
  <si>
    <t>Right side and bottom chord missing; top chord and hexagon added.</t>
  </si>
  <si>
    <t>Right side missing; top chord and hexagon added.</t>
  </si>
  <si>
    <t>Pentagon → triangle; white rhombus; lemniscate added.</t>
  </si>
  <si>
    <t>Rhombus rotated (square).</t>
  </si>
  <si>
    <t>White rhombus.</t>
  </si>
  <si>
    <t>Pentagon → ellipse; rhombus → small circle, texture from checked to striped (texture is a rule). Size not counted (different shapes); the thick outline of the rhombus is an effect of the texture.</t>
  </si>
  <si>
    <t>Rhombus → small circle with the same texture.</t>
  </si>
  <si>
    <t>Pentagon → triangle; rhombus → small striped circle.</t>
  </si>
  <si>
    <t>Triangle added (the pentagon remains); rhombus from checked to white.</t>
  </si>
  <si>
    <t>Square → rhombus (rotated); white pentagon; lemniscate added.</t>
  </si>
  <si>
    <t>Pentagon upside down.</t>
  </si>
  <si>
    <t>White pentagon.</t>
  </si>
  <si>
    <t>Square → hexagon; pentagon → ellipse, black to grey (fill is a rule).</t>
  </si>
  <si>
    <t>Square rotated (rhombus); pentagon → black ellipse.</t>
  </si>
  <si>
    <t>Pentagon → white ellipse.</t>
  </si>
  <si>
    <t>Square → rhombus (rotated); hexagon added; white pentagon.</t>
  </si>
  <si>
    <t>Empty circle; triangle → rhombus; lemniscate added.</t>
  </si>
  <si>
    <t>Texture from checked to plain stripes: texture is a rule of the matrix, so it is a change of fill (R11).</t>
  </si>
  <si>
    <t>Black triangle.</t>
  </si>
  <si>
    <t>Circle → pentagon, texture from checked to striped; triangle → small pentagon.</t>
  </si>
  <si>
    <t>Circle → pentagon (same texture); triangle → rhombus.</t>
  </si>
  <si>
    <t>Circle → striped pentagon; triangle pointing left.</t>
  </si>
  <si>
    <t>Empty circle; pentagon added; triangle → rhombus.</t>
  </si>
  <si>
    <t>MO_missing</t>
  </si>
  <si>
    <t>MO_added</t>
  </si>
  <si>
    <t>MO_shape</t>
  </si>
  <si>
    <t>MO_size</t>
  </si>
  <si>
    <t>MO_fill</t>
  </si>
  <si>
    <t>MO_line</t>
  </si>
  <si>
    <t>MO_orientation</t>
  </si>
  <si>
    <t>MO_distance</t>
  </si>
  <si>
    <t>OE_missing</t>
  </si>
  <si>
    <t>OE_added</t>
  </si>
  <si>
    <t>OE_shape</t>
  </si>
  <si>
    <t>OE_size</t>
  </si>
  <si>
    <t>OE_fill</t>
  </si>
  <si>
    <t>OE_line</t>
  </si>
  <si>
    <t>OE_orientation</t>
  </si>
  <si>
    <t>OE_distance</t>
  </si>
  <si>
    <t>Agreement between the two raters (independent codes) and with the consensus</t>
  </si>
  <si>
    <t>See Section 2.2.4 for the values reported in the manuscript.</t>
  </si>
  <si>
    <t>Total distance: MO vs OE</t>
  </si>
  <si>
    <t>Value</t>
  </si>
  <si>
    <t>Distractors coded by both raters</t>
  </si>
  <si>
    <t>Mean distance, MO</t>
  </si>
  <si>
    <t>Mean distance, OE</t>
  </si>
  <si>
    <t>Same total</t>
  </si>
  <si>
    <t>Totals within ±1</t>
  </si>
  <si>
    <t>Spearman's ρ (mid-ranks for ties)</t>
  </si>
  <si>
    <t>ICC(2,1), absolute agreement</t>
  </si>
  <si>
    <t>ICC(3,1), consistency</t>
  </si>
  <si>
    <t>Feature</t>
  </si>
  <si>
    <t>Departures, MO</t>
  </si>
  <si>
    <t>Departures, OE</t>
  </si>
  <si>
    <t>Agreement on presence</t>
  </si>
  <si>
    <t>Cohen's κ</t>
  </si>
  <si>
    <t>Presence = count ≥ 1. κ is unstable for rare features (size, line); see percentage agreement.</t>
  </si>
  <si>
    <t>ICC calculation (Shrout &amp; Fleiss, 1979)</t>
  </si>
  <si>
    <t>MO vs OE</t>
  </si>
  <si>
    <t>Consensus vs MO</t>
  </si>
  <si>
    <t>Consensus vs OE</t>
  </si>
  <si>
    <t>Mean, first coding</t>
  </si>
  <si>
    <t>Mean, second coding</t>
  </si>
  <si>
    <t>Grand mean</t>
  </si>
  <si>
    <t>SS rows</t>
  </si>
  <si>
    <t>SS columns</t>
  </si>
  <si>
    <t>SS total</t>
  </si>
  <si>
    <t>SS error</t>
  </si>
  <si>
    <t>MS rows</t>
  </si>
  <si>
    <t>MS columns</t>
  </si>
  <si>
    <t>MS error</t>
  </si>
  <si>
    <t>Resolution of the total distance in the consensus</t>
  </si>
  <si>
    <t>Distractors</t>
  </si>
  <si>
    <t>Raters agreed, value kept</t>
  </si>
  <si>
    <t>Raters agreed, value changed by a rule</t>
  </si>
  <si>
    <t>Raters disagreed, resolved as MO</t>
  </si>
  <si>
    <t>Raters disagreed, resolved as OE</t>
  </si>
  <si>
    <t>Raters disagreed, third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</si>
</sst>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5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/>
    <xf numFmtId="0" fontId="3" fillId="3" borderId="0" xfId="0" applyFont="1" applyFill="1"/>
    <xf numFmtId="0" fontId="1" fillId="0" borderId="0" xfId="0" applyFont="1"/>
    <xf numFmtId="1" fontId="3" fillId="0" borderId="0" xfId="0" applyNumberFormat="1" applyFont="1"/>
    <xf numFmtId="2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165" fontId="3" fillId="0" borderId="0" xfId="0" applyNumberFormat="1" applyFont="1"/>
    <xf numFmtId="0" fontId="2" fillId="0" borderId="0" xfId="0" applyFont="1"/>
    <xf numFmtId="2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showGridLines="0" zoomScaleNormal="100" workbookViewId="0">
      <selection activeCell="B16" sqref="B16"/>
    </sheetView>
  </sheetViews>
  <sheetFormatPr defaultColWidth="8.6328125" defaultRowHeight="14.5" x14ac:dyDescent="0.35"/>
  <cols>
    <col min="1" max="1" width="30" customWidth="1"/>
    <col min="2" max="2" width="100" customWidth="1"/>
  </cols>
  <sheetData>
    <row r="1" spans="1:2" ht="66" x14ac:dyDescent="0.35">
      <c r="A1" s="1" t="s">
        <v>0</v>
      </c>
    </row>
    <row r="3" spans="1:2" ht="25" x14ac:dyDescent="0.35">
      <c r="A3" s="2" t="s">
        <v>1</v>
      </c>
      <c r="B3" s="3" t="s">
        <v>2</v>
      </c>
    </row>
    <row r="5" spans="1:2" ht="16.5" x14ac:dyDescent="0.35">
      <c r="A5" s="1" t="s">
        <v>3</v>
      </c>
    </row>
    <row r="6" spans="1:2" ht="25" x14ac:dyDescent="0.35">
      <c r="A6" s="2" t="s">
        <v>4</v>
      </c>
      <c r="B6" s="3" t="s">
        <v>5</v>
      </c>
    </row>
    <row r="7" spans="1:2" x14ac:dyDescent="0.35">
      <c r="A7" s="2" t="s">
        <v>6</v>
      </c>
      <c r="B7" s="3" t="s">
        <v>7</v>
      </c>
    </row>
    <row r="8" spans="1:2" ht="25" x14ac:dyDescent="0.35">
      <c r="A8" s="2" t="s">
        <v>8</v>
      </c>
      <c r="B8" s="3" t="s">
        <v>9</v>
      </c>
    </row>
    <row r="10" spans="1:2" ht="16.5" x14ac:dyDescent="0.35">
      <c r="A10" s="1" t="s">
        <v>10</v>
      </c>
    </row>
    <row r="11" spans="1:2" x14ac:dyDescent="0.35">
      <c r="A11" s="2" t="s">
        <v>11</v>
      </c>
      <c r="B11" s="3" t="s">
        <v>12</v>
      </c>
    </row>
    <row r="12" spans="1:2" x14ac:dyDescent="0.35">
      <c r="A12" s="2" t="s">
        <v>13</v>
      </c>
      <c r="B12" s="3" t="s">
        <v>14</v>
      </c>
    </row>
    <row r="13" spans="1:2" x14ac:dyDescent="0.35">
      <c r="A13" s="2" t="s">
        <v>15</v>
      </c>
      <c r="B13" s="3" t="s">
        <v>16</v>
      </c>
    </row>
    <row r="14" spans="1:2" x14ac:dyDescent="0.35">
      <c r="A14" s="2" t="s">
        <v>17</v>
      </c>
      <c r="B14" s="3" t="s">
        <v>18</v>
      </c>
    </row>
    <row r="15" spans="1:2" ht="25" x14ac:dyDescent="0.35">
      <c r="A15" s="2" t="s">
        <v>19</v>
      </c>
      <c r="B15" s="3" t="s">
        <v>20</v>
      </c>
    </row>
    <row r="16" spans="1:2" x14ac:dyDescent="0.35">
      <c r="A16" s="2" t="s">
        <v>21</v>
      </c>
      <c r="B16" s="3" t="s">
        <v>22</v>
      </c>
    </row>
    <row r="17" spans="1:2" x14ac:dyDescent="0.35">
      <c r="A17" s="2" t="s">
        <v>23</v>
      </c>
      <c r="B17" s="3" t="s">
        <v>24</v>
      </c>
    </row>
    <row r="18" spans="1:2" x14ac:dyDescent="0.35">
      <c r="A18" s="2" t="s">
        <v>25</v>
      </c>
      <c r="B18" s="3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7"/>
  <sheetViews>
    <sheetView zoomScaleNormal="100" workbookViewId="0">
      <pane xSplit="3" ySplit="1" topLeftCell="D89" activePane="bottomRight" state="frozen"/>
      <selection pane="topRight" activeCell="D1" sqref="D1"/>
      <selection pane="bottomLeft" activeCell="A2" sqref="A2"/>
      <selection pane="bottomRight"/>
    </sheetView>
  </sheetViews>
  <sheetFormatPr defaultColWidth="8.6328125" defaultRowHeight="14.5" x14ac:dyDescent="0.35"/>
  <cols>
    <col min="1" max="2" width="10" customWidth="1"/>
    <col min="3" max="3" width="11" customWidth="1"/>
    <col min="4" max="4" width="9" customWidth="1"/>
    <col min="5" max="5" width="11" customWidth="1"/>
    <col min="6" max="13" width="9" customWidth="1"/>
    <col min="14" max="14" width="10" customWidth="1"/>
    <col min="15" max="15" width="90" customWidth="1"/>
  </cols>
  <sheetData>
    <row r="1" spans="1:15" ht="30" customHeight="1" x14ac:dyDescent="0.35">
      <c r="A1" s="4" t="s">
        <v>27</v>
      </c>
      <c r="B1" s="4" t="s">
        <v>28</v>
      </c>
      <c r="C1" s="4" t="s">
        <v>13</v>
      </c>
      <c r="D1" s="4" t="s">
        <v>15</v>
      </c>
      <c r="E1" s="4" t="s">
        <v>17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21</v>
      </c>
      <c r="N1" s="4" t="s">
        <v>23</v>
      </c>
      <c r="O1" s="4" t="s">
        <v>25</v>
      </c>
    </row>
    <row r="2" spans="1:15" x14ac:dyDescent="0.35">
      <c r="A2" s="5">
        <v>4</v>
      </c>
      <c r="B2" s="5">
        <v>34</v>
      </c>
      <c r="C2" s="5" t="s">
        <v>36</v>
      </c>
      <c r="D2" s="5" t="s">
        <v>37</v>
      </c>
      <c r="E2" s="5" t="s">
        <v>38</v>
      </c>
      <c r="F2" s="5">
        <v>0</v>
      </c>
      <c r="G2" s="5">
        <v>1</v>
      </c>
      <c r="H2" s="5">
        <v>1</v>
      </c>
      <c r="I2" s="5">
        <v>0</v>
      </c>
      <c r="J2" s="5">
        <v>0</v>
      </c>
      <c r="K2" s="5">
        <v>0</v>
      </c>
      <c r="L2" s="5">
        <v>0</v>
      </c>
      <c r="M2" s="6">
        <f t="shared" ref="M2:M33" si="0">SUM(F2:L2)</f>
        <v>2</v>
      </c>
      <c r="N2" s="6">
        <f t="shared" ref="N2:N33" si="1">COUNTIF(F2:L2,"&gt;0")</f>
        <v>2</v>
      </c>
      <c r="O2" s="3" t="s">
        <v>39</v>
      </c>
    </row>
    <row r="3" spans="1:15" x14ac:dyDescent="0.35">
      <c r="A3" s="5">
        <v>4</v>
      </c>
      <c r="B3" s="5">
        <v>34</v>
      </c>
      <c r="C3" s="5" t="s">
        <v>40</v>
      </c>
      <c r="D3" s="5" t="s">
        <v>41</v>
      </c>
      <c r="E3" s="5" t="s">
        <v>38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6">
        <f t="shared" si="0"/>
        <v>1</v>
      </c>
      <c r="N3" s="6">
        <f t="shared" si="1"/>
        <v>1</v>
      </c>
      <c r="O3" s="3" t="s">
        <v>42</v>
      </c>
    </row>
    <row r="4" spans="1:15" x14ac:dyDescent="0.35">
      <c r="A4" s="5">
        <v>4</v>
      </c>
      <c r="B4" s="5">
        <v>34</v>
      </c>
      <c r="C4" s="5" t="s">
        <v>43</v>
      </c>
      <c r="D4" s="5" t="s">
        <v>41</v>
      </c>
      <c r="E4" s="5" t="s">
        <v>38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6">
        <f t="shared" si="0"/>
        <v>1</v>
      </c>
      <c r="N4" s="6">
        <f t="shared" si="1"/>
        <v>1</v>
      </c>
      <c r="O4" s="3" t="s">
        <v>44</v>
      </c>
    </row>
    <row r="5" spans="1:15" x14ac:dyDescent="0.35">
      <c r="A5" s="5">
        <v>4</v>
      </c>
      <c r="B5" s="5">
        <v>34</v>
      </c>
      <c r="C5" s="5" t="s">
        <v>45</v>
      </c>
      <c r="D5" s="5" t="s">
        <v>41</v>
      </c>
      <c r="E5" s="5" t="s">
        <v>38</v>
      </c>
      <c r="F5" s="5">
        <v>0</v>
      </c>
      <c r="G5" s="5">
        <v>0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6">
        <f t="shared" si="0"/>
        <v>1</v>
      </c>
      <c r="N5" s="6">
        <f t="shared" si="1"/>
        <v>1</v>
      </c>
      <c r="O5" s="3" t="s">
        <v>46</v>
      </c>
    </row>
    <row r="6" spans="1:15" x14ac:dyDescent="0.35">
      <c r="A6" s="5">
        <v>4</v>
      </c>
      <c r="B6" s="5">
        <v>34</v>
      </c>
      <c r="C6" s="5" t="s">
        <v>47</v>
      </c>
      <c r="D6" s="5" t="s">
        <v>48</v>
      </c>
      <c r="E6" s="5" t="s">
        <v>38</v>
      </c>
      <c r="F6" s="5">
        <v>0</v>
      </c>
      <c r="G6" s="5">
        <v>0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6">
        <f t="shared" si="0"/>
        <v>1</v>
      </c>
      <c r="N6" s="6">
        <f t="shared" si="1"/>
        <v>1</v>
      </c>
      <c r="O6" s="3" t="s">
        <v>49</v>
      </c>
    </row>
    <row r="7" spans="1:15" x14ac:dyDescent="0.35">
      <c r="A7" s="5">
        <v>4</v>
      </c>
      <c r="B7" s="5">
        <v>34</v>
      </c>
      <c r="C7" s="5" t="s">
        <v>50</v>
      </c>
      <c r="D7" s="5" t="s">
        <v>51</v>
      </c>
      <c r="E7" s="5" t="s">
        <v>38</v>
      </c>
      <c r="F7" s="5">
        <v>0</v>
      </c>
      <c r="G7" s="5">
        <v>0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6">
        <f t="shared" si="0"/>
        <v>1</v>
      </c>
      <c r="N7" s="6">
        <f t="shared" si="1"/>
        <v>1</v>
      </c>
      <c r="O7" s="3" t="s">
        <v>52</v>
      </c>
    </row>
    <row r="8" spans="1:15" x14ac:dyDescent="0.35">
      <c r="A8" s="5">
        <v>4</v>
      </c>
      <c r="B8" s="5">
        <v>34</v>
      </c>
      <c r="C8" s="5" t="s">
        <v>53</v>
      </c>
      <c r="D8" s="5" t="s">
        <v>51</v>
      </c>
      <c r="E8" s="5" t="s">
        <v>38</v>
      </c>
      <c r="F8" s="5">
        <v>0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6">
        <f t="shared" si="0"/>
        <v>2</v>
      </c>
      <c r="N8" s="6">
        <f t="shared" si="1"/>
        <v>2</v>
      </c>
      <c r="O8" s="3" t="s">
        <v>54</v>
      </c>
    </row>
    <row r="9" spans="1:15" x14ac:dyDescent="0.35">
      <c r="A9" s="5">
        <v>13</v>
      </c>
      <c r="B9" s="5">
        <v>35</v>
      </c>
      <c r="C9" s="5" t="s">
        <v>36</v>
      </c>
      <c r="D9" s="5" t="s">
        <v>37</v>
      </c>
      <c r="E9" s="5" t="s">
        <v>38</v>
      </c>
      <c r="F9" s="5">
        <v>0</v>
      </c>
      <c r="G9" s="5">
        <v>1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6">
        <f t="shared" si="0"/>
        <v>3</v>
      </c>
      <c r="N9" s="6">
        <f t="shared" si="1"/>
        <v>2</v>
      </c>
      <c r="O9" s="3" t="s">
        <v>55</v>
      </c>
    </row>
    <row r="10" spans="1:15" x14ac:dyDescent="0.35">
      <c r="A10" s="5">
        <v>13</v>
      </c>
      <c r="B10" s="5">
        <v>35</v>
      </c>
      <c r="C10" s="5" t="s">
        <v>40</v>
      </c>
      <c r="D10" s="5" t="s">
        <v>41</v>
      </c>
      <c r="E10" s="5" t="s">
        <v>38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6">
        <f t="shared" si="0"/>
        <v>1</v>
      </c>
      <c r="N10" s="6">
        <f t="shared" si="1"/>
        <v>1</v>
      </c>
      <c r="O10" s="3" t="s">
        <v>56</v>
      </c>
    </row>
    <row r="11" spans="1:15" x14ac:dyDescent="0.35">
      <c r="A11" s="5">
        <v>13</v>
      </c>
      <c r="B11" s="5">
        <v>35</v>
      </c>
      <c r="C11" s="5" t="s">
        <v>43</v>
      </c>
      <c r="D11" s="5" t="s">
        <v>41</v>
      </c>
      <c r="E11" s="5" t="s">
        <v>38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6">
        <f t="shared" si="0"/>
        <v>1</v>
      </c>
      <c r="N11" s="6">
        <f t="shared" si="1"/>
        <v>1</v>
      </c>
      <c r="O11" s="3" t="s">
        <v>57</v>
      </c>
    </row>
    <row r="12" spans="1:15" x14ac:dyDescent="0.35">
      <c r="A12" s="5">
        <v>13</v>
      </c>
      <c r="B12" s="5">
        <v>35</v>
      </c>
      <c r="C12" s="5" t="s">
        <v>47</v>
      </c>
      <c r="D12" s="5" t="s">
        <v>48</v>
      </c>
      <c r="E12" s="5" t="s">
        <v>38</v>
      </c>
      <c r="F12" s="5">
        <v>0</v>
      </c>
      <c r="G12" s="5">
        <v>0</v>
      </c>
      <c r="H12" s="5">
        <v>1</v>
      </c>
      <c r="I12" s="5">
        <v>0</v>
      </c>
      <c r="J12" s="5">
        <v>0</v>
      </c>
      <c r="K12" s="5">
        <v>0</v>
      </c>
      <c r="L12" s="5">
        <v>1</v>
      </c>
      <c r="M12" s="6">
        <f t="shared" si="0"/>
        <v>2</v>
      </c>
      <c r="N12" s="6">
        <f t="shared" si="1"/>
        <v>2</v>
      </c>
      <c r="O12" s="3" t="s">
        <v>58</v>
      </c>
    </row>
    <row r="13" spans="1:15" x14ac:dyDescent="0.35">
      <c r="A13" s="5">
        <v>13</v>
      </c>
      <c r="B13" s="5">
        <v>35</v>
      </c>
      <c r="C13" s="5" t="s">
        <v>59</v>
      </c>
      <c r="D13" s="5" t="s">
        <v>48</v>
      </c>
      <c r="E13" s="5" t="s">
        <v>38</v>
      </c>
      <c r="F13" s="5">
        <v>0</v>
      </c>
      <c r="G13" s="5">
        <v>0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6">
        <f t="shared" si="0"/>
        <v>1</v>
      </c>
      <c r="N13" s="6">
        <f t="shared" si="1"/>
        <v>1</v>
      </c>
      <c r="O13" s="3" t="s">
        <v>60</v>
      </c>
    </row>
    <row r="14" spans="1:15" x14ac:dyDescent="0.35">
      <c r="A14" s="5">
        <v>13</v>
      </c>
      <c r="B14" s="5">
        <v>35</v>
      </c>
      <c r="C14" s="5" t="s">
        <v>50</v>
      </c>
      <c r="D14" s="5" t="s">
        <v>51</v>
      </c>
      <c r="E14" s="5" t="s">
        <v>38</v>
      </c>
      <c r="F14" s="5">
        <v>0</v>
      </c>
      <c r="G14" s="5">
        <v>0</v>
      </c>
      <c r="H14" s="5">
        <v>1</v>
      </c>
      <c r="I14" s="5">
        <v>0</v>
      </c>
      <c r="J14" s="5">
        <v>0</v>
      </c>
      <c r="K14" s="5">
        <v>0</v>
      </c>
      <c r="L14" s="5">
        <v>1</v>
      </c>
      <c r="M14" s="6">
        <f t="shared" si="0"/>
        <v>2</v>
      </c>
      <c r="N14" s="6">
        <f t="shared" si="1"/>
        <v>2</v>
      </c>
      <c r="O14" s="3" t="s">
        <v>61</v>
      </c>
    </row>
    <row r="15" spans="1:15" ht="25" x14ac:dyDescent="0.35">
      <c r="A15" s="5">
        <v>13</v>
      </c>
      <c r="B15" s="5">
        <v>35</v>
      </c>
      <c r="C15" s="5" t="s">
        <v>53</v>
      </c>
      <c r="D15" s="5" t="s">
        <v>51</v>
      </c>
      <c r="E15" s="5" t="s">
        <v>38</v>
      </c>
      <c r="F15" s="5">
        <v>0</v>
      </c>
      <c r="G15" s="5">
        <v>2</v>
      </c>
      <c r="H15" s="5">
        <v>1</v>
      </c>
      <c r="I15" s="5">
        <v>1</v>
      </c>
      <c r="J15" s="5">
        <v>0</v>
      </c>
      <c r="K15" s="5">
        <v>0</v>
      </c>
      <c r="L15" s="5">
        <v>0</v>
      </c>
      <c r="M15" s="6">
        <f t="shared" si="0"/>
        <v>4</v>
      </c>
      <c r="N15" s="6">
        <f t="shared" si="1"/>
        <v>3</v>
      </c>
      <c r="O15" s="3" t="s">
        <v>62</v>
      </c>
    </row>
    <row r="16" spans="1:15" x14ac:dyDescent="0.35">
      <c r="A16" s="5">
        <v>14</v>
      </c>
      <c r="B16" s="5">
        <v>36</v>
      </c>
      <c r="C16" s="5" t="s">
        <v>36</v>
      </c>
      <c r="D16" s="5" t="s">
        <v>37</v>
      </c>
      <c r="E16" s="5" t="s">
        <v>38</v>
      </c>
      <c r="F16" s="5">
        <v>0</v>
      </c>
      <c r="G16" s="5">
        <v>0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6">
        <f t="shared" si="0"/>
        <v>1</v>
      </c>
      <c r="N16" s="6">
        <f t="shared" si="1"/>
        <v>1</v>
      </c>
      <c r="O16" s="3" t="s">
        <v>63</v>
      </c>
    </row>
    <row r="17" spans="1:15" x14ac:dyDescent="0.35">
      <c r="A17" s="5">
        <v>14</v>
      </c>
      <c r="B17" s="5">
        <v>36</v>
      </c>
      <c r="C17" s="5" t="s">
        <v>43</v>
      </c>
      <c r="D17" s="5" t="s">
        <v>41</v>
      </c>
      <c r="E17" s="5" t="s">
        <v>38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6">
        <f t="shared" si="0"/>
        <v>1</v>
      </c>
      <c r="N17" s="6">
        <f t="shared" si="1"/>
        <v>1</v>
      </c>
      <c r="O17" s="3" t="s">
        <v>44</v>
      </c>
    </row>
    <row r="18" spans="1:15" x14ac:dyDescent="0.35">
      <c r="A18" s="5">
        <v>14</v>
      </c>
      <c r="B18" s="5">
        <v>36</v>
      </c>
      <c r="C18" s="5" t="s">
        <v>45</v>
      </c>
      <c r="D18" s="5" t="s">
        <v>41</v>
      </c>
      <c r="E18" s="5" t="s">
        <v>38</v>
      </c>
      <c r="F18" s="5">
        <v>0</v>
      </c>
      <c r="G18" s="5">
        <v>0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6">
        <f t="shared" si="0"/>
        <v>1</v>
      </c>
      <c r="N18" s="6">
        <f t="shared" si="1"/>
        <v>1</v>
      </c>
      <c r="O18" s="3" t="s">
        <v>64</v>
      </c>
    </row>
    <row r="19" spans="1:15" x14ac:dyDescent="0.35">
      <c r="A19" s="5">
        <v>14</v>
      </c>
      <c r="B19" s="5">
        <v>36</v>
      </c>
      <c r="C19" s="5" t="s">
        <v>47</v>
      </c>
      <c r="D19" s="5" t="s">
        <v>48</v>
      </c>
      <c r="E19" s="5" t="s">
        <v>38</v>
      </c>
      <c r="F19" s="5">
        <v>0</v>
      </c>
      <c r="G19" s="5">
        <v>0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6">
        <f t="shared" si="0"/>
        <v>1</v>
      </c>
      <c r="N19" s="6">
        <f t="shared" si="1"/>
        <v>1</v>
      </c>
      <c r="O19" s="3" t="s">
        <v>65</v>
      </c>
    </row>
    <row r="20" spans="1:15" ht="25" x14ac:dyDescent="0.35">
      <c r="A20" s="5">
        <v>14</v>
      </c>
      <c r="B20" s="5">
        <v>36</v>
      </c>
      <c r="C20" s="5" t="s">
        <v>66</v>
      </c>
      <c r="D20" s="5" t="s">
        <v>48</v>
      </c>
      <c r="E20" s="5" t="s">
        <v>38</v>
      </c>
      <c r="F20" s="5">
        <v>1</v>
      </c>
      <c r="G20" s="5">
        <v>0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6">
        <f t="shared" si="0"/>
        <v>2</v>
      </c>
      <c r="N20" s="6">
        <f t="shared" si="1"/>
        <v>2</v>
      </c>
      <c r="O20" s="3" t="s">
        <v>67</v>
      </c>
    </row>
    <row r="21" spans="1:15" x14ac:dyDescent="0.35">
      <c r="A21" s="5">
        <v>14</v>
      </c>
      <c r="B21" s="5">
        <v>36</v>
      </c>
      <c r="C21" s="5" t="s">
        <v>50</v>
      </c>
      <c r="D21" s="5" t="s">
        <v>51</v>
      </c>
      <c r="E21" s="5" t="s">
        <v>38</v>
      </c>
      <c r="F21" s="5">
        <v>0</v>
      </c>
      <c r="G21" s="5">
        <v>0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6">
        <f t="shared" si="0"/>
        <v>1</v>
      </c>
      <c r="N21" s="6">
        <f t="shared" si="1"/>
        <v>1</v>
      </c>
      <c r="O21" s="3" t="s">
        <v>68</v>
      </c>
    </row>
    <row r="22" spans="1:15" x14ac:dyDescent="0.35">
      <c r="A22" s="5">
        <v>14</v>
      </c>
      <c r="B22" s="5">
        <v>36</v>
      </c>
      <c r="C22" s="5" t="s">
        <v>53</v>
      </c>
      <c r="D22" s="5" t="s">
        <v>51</v>
      </c>
      <c r="E22" s="5" t="s">
        <v>38</v>
      </c>
      <c r="F22" s="5">
        <v>0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6">
        <f t="shared" si="0"/>
        <v>2</v>
      </c>
      <c r="N22" s="6">
        <f t="shared" si="1"/>
        <v>2</v>
      </c>
      <c r="O22" s="3" t="s">
        <v>69</v>
      </c>
    </row>
    <row r="23" spans="1:15" x14ac:dyDescent="0.35">
      <c r="A23" s="5">
        <v>15</v>
      </c>
      <c r="B23" s="5">
        <v>37</v>
      </c>
      <c r="C23" s="5" t="s">
        <v>36</v>
      </c>
      <c r="D23" s="5" t="s">
        <v>37</v>
      </c>
      <c r="E23" s="5" t="s">
        <v>38</v>
      </c>
      <c r="F23" s="5">
        <v>0</v>
      </c>
      <c r="G23" s="5">
        <v>1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6">
        <f t="shared" si="0"/>
        <v>3</v>
      </c>
      <c r="N23" s="6">
        <f t="shared" si="1"/>
        <v>2</v>
      </c>
      <c r="O23" s="3" t="s">
        <v>70</v>
      </c>
    </row>
    <row r="24" spans="1:15" x14ac:dyDescent="0.35">
      <c r="A24" s="5">
        <v>15</v>
      </c>
      <c r="B24" s="5">
        <v>37</v>
      </c>
      <c r="C24" s="5" t="s">
        <v>43</v>
      </c>
      <c r="D24" s="5" t="s">
        <v>41</v>
      </c>
      <c r="E24" s="5" t="s">
        <v>38</v>
      </c>
      <c r="F24" s="5">
        <v>1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6">
        <f t="shared" si="0"/>
        <v>1</v>
      </c>
      <c r="N24" s="6">
        <f t="shared" si="1"/>
        <v>1</v>
      </c>
      <c r="O24" s="3" t="s">
        <v>71</v>
      </c>
    </row>
    <row r="25" spans="1:15" x14ac:dyDescent="0.35">
      <c r="A25" s="5">
        <v>15</v>
      </c>
      <c r="B25" s="5">
        <v>37</v>
      </c>
      <c r="C25" s="5" t="s">
        <v>45</v>
      </c>
      <c r="D25" s="5" t="s">
        <v>41</v>
      </c>
      <c r="E25" s="5" t="s">
        <v>38</v>
      </c>
      <c r="F25" s="5">
        <v>0</v>
      </c>
      <c r="G25" s="5">
        <v>0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6">
        <f t="shared" si="0"/>
        <v>1</v>
      </c>
      <c r="N25" s="6">
        <f t="shared" si="1"/>
        <v>1</v>
      </c>
      <c r="O25" s="3" t="s">
        <v>72</v>
      </c>
    </row>
    <row r="26" spans="1:15" x14ac:dyDescent="0.35">
      <c r="A26" s="5">
        <v>15</v>
      </c>
      <c r="B26" s="5">
        <v>37</v>
      </c>
      <c r="C26" s="5" t="s">
        <v>66</v>
      </c>
      <c r="D26" s="5" t="s">
        <v>48</v>
      </c>
      <c r="E26" s="5" t="s">
        <v>38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6">
        <f t="shared" si="0"/>
        <v>1</v>
      </c>
      <c r="N26" s="6">
        <f t="shared" si="1"/>
        <v>1</v>
      </c>
      <c r="O26" s="3" t="s">
        <v>73</v>
      </c>
    </row>
    <row r="27" spans="1:15" x14ac:dyDescent="0.35">
      <c r="A27" s="5">
        <v>15</v>
      </c>
      <c r="B27" s="5">
        <v>37</v>
      </c>
      <c r="C27" s="5" t="s">
        <v>59</v>
      </c>
      <c r="D27" s="5" t="s">
        <v>48</v>
      </c>
      <c r="E27" s="5" t="s">
        <v>38</v>
      </c>
      <c r="F27" s="5">
        <v>0</v>
      </c>
      <c r="G27" s="5">
        <v>0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6">
        <f t="shared" si="0"/>
        <v>1</v>
      </c>
      <c r="N27" s="6">
        <f t="shared" si="1"/>
        <v>1</v>
      </c>
      <c r="O27" s="3" t="s">
        <v>74</v>
      </c>
    </row>
    <row r="28" spans="1:15" x14ac:dyDescent="0.35">
      <c r="A28" s="5">
        <v>15</v>
      </c>
      <c r="B28" s="5">
        <v>37</v>
      </c>
      <c r="C28" s="5" t="s">
        <v>50</v>
      </c>
      <c r="D28" s="5" t="s">
        <v>51</v>
      </c>
      <c r="E28" s="5" t="s">
        <v>38</v>
      </c>
      <c r="F28" s="5">
        <v>0</v>
      </c>
      <c r="G28" s="5">
        <v>0</v>
      </c>
      <c r="H28" s="5">
        <v>1</v>
      </c>
      <c r="I28" s="5">
        <v>0</v>
      </c>
      <c r="J28" s="5">
        <v>0</v>
      </c>
      <c r="K28" s="5">
        <v>0</v>
      </c>
      <c r="L28" s="5">
        <v>1</v>
      </c>
      <c r="M28" s="6">
        <f t="shared" si="0"/>
        <v>2</v>
      </c>
      <c r="N28" s="6">
        <f t="shared" si="1"/>
        <v>2</v>
      </c>
      <c r="O28" s="3" t="s">
        <v>75</v>
      </c>
    </row>
    <row r="29" spans="1:15" x14ac:dyDescent="0.35">
      <c r="A29" s="5">
        <v>15</v>
      </c>
      <c r="B29" s="5">
        <v>37</v>
      </c>
      <c r="C29" s="5" t="s">
        <v>53</v>
      </c>
      <c r="D29" s="5" t="s">
        <v>51</v>
      </c>
      <c r="E29" s="5" t="s">
        <v>38</v>
      </c>
      <c r="F29" s="5">
        <v>0</v>
      </c>
      <c r="G29" s="5">
        <v>2</v>
      </c>
      <c r="H29" s="5">
        <v>1</v>
      </c>
      <c r="I29" s="5">
        <v>0</v>
      </c>
      <c r="J29" s="5">
        <v>0</v>
      </c>
      <c r="K29" s="5">
        <v>0</v>
      </c>
      <c r="L29" s="5">
        <v>1</v>
      </c>
      <c r="M29" s="6">
        <f t="shared" si="0"/>
        <v>4</v>
      </c>
      <c r="N29" s="6">
        <f t="shared" si="1"/>
        <v>3</v>
      </c>
      <c r="O29" s="3" t="s">
        <v>76</v>
      </c>
    </row>
    <row r="30" spans="1:15" x14ac:dyDescent="0.35">
      <c r="A30" s="5">
        <v>16</v>
      </c>
      <c r="B30" s="5">
        <v>38</v>
      </c>
      <c r="C30" s="5" t="s">
        <v>36</v>
      </c>
      <c r="D30" s="5" t="s">
        <v>37</v>
      </c>
      <c r="E30" s="5" t="s">
        <v>38</v>
      </c>
      <c r="F30" s="5">
        <v>0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6">
        <f t="shared" si="0"/>
        <v>2</v>
      </c>
      <c r="N30" s="6">
        <f t="shared" si="1"/>
        <v>2</v>
      </c>
      <c r="O30" s="3" t="s">
        <v>77</v>
      </c>
    </row>
    <row r="31" spans="1:15" x14ac:dyDescent="0.35">
      <c r="A31" s="5">
        <v>16</v>
      </c>
      <c r="B31" s="5">
        <v>38</v>
      </c>
      <c r="C31" s="5" t="s">
        <v>40</v>
      </c>
      <c r="D31" s="5" t="s">
        <v>41</v>
      </c>
      <c r="E31" s="5" t="s">
        <v>38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</v>
      </c>
      <c r="M31" s="6">
        <f t="shared" si="0"/>
        <v>1</v>
      </c>
      <c r="N31" s="6">
        <f t="shared" si="1"/>
        <v>1</v>
      </c>
      <c r="O31" s="3" t="s">
        <v>78</v>
      </c>
    </row>
    <row r="32" spans="1:15" x14ac:dyDescent="0.35">
      <c r="A32" s="5">
        <v>16</v>
      </c>
      <c r="B32" s="5">
        <v>38</v>
      </c>
      <c r="C32" s="5" t="s">
        <v>43</v>
      </c>
      <c r="D32" s="5" t="s">
        <v>41</v>
      </c>
      <c r="E32" s="5" t="s">
        <v>38</v>
      </c>
      <c r="F32" s="5">
        <v>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6">
        <f t="shared" si="0"/>
        <v>1</v>
      </c>
      <c r="N32" s="6">
        <f t="shared" si="1"/>
        <v>1</v>
      </c>
      <c r="O32" s="3" t="s">
        <v>79</v>
      </c>
    </row>
    <row r="33" spans="1:15" x14ac:dyDescent="0.35">
      <c r="A33" s="5">
        <v>16</v>
      </c>
      <c r="B33" s="5">
        <v>38</v>
      </c>
      <c r="C33" s="5" t="s">
        <v>47</v>
      </c>
      <c r="D33" s="5" t="s">
        <v>48</v>
      </c>
      <c r="E33" s="5" t="s">
        <v>38</v>
      </c>
      <c r="F33" s="5">
        <v>0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6">
        <f t="shared" si="0"/>
        <v>1</v>
      </c>
      <c r="N33" s="6">
        <f t="shared" si="1"/>
        <v>1</v>
      </c>
      <c r="O33" s="3" t="s">
        <v>80</v>
      </c>
    </row>
    <row r="34" spans="1:15" x14ac:dyDescent="0.35">
      <c r="A34" s="5">
        <v>16</v>
      </c>
      <c r="B34" s="5">
        <v>38</v>
      </c>
      <c r="C34" s="5" t="s">
        <v>59</v>
      </c>
      <c r="D34" s="5" t="s">
        <v>48</v>
      </c>
      <c r="E34" s="5" t="s">
        <v>38</v>
      </c>
      <c r="F34" s="5">
        <v>0</v>
      </c>
      <c r="G34" s="5">
        <v>0</v>
      </c>
      <c r="H34" s="5">
        <v>2</v>
      </c>
      <c r="I34" s="5">
        <v>0</v>
      </c>
      <c r="J34" s="5">
        <v>0</v>
      </c>
      <c r="K34" s="5">
        <v>0</v>
      </c>
      <c r="L34" s="5">
        <v>0</v>
      </c>
      <c r="M34" s="6">
        <f t="shared" ref="M34:M65" si="2">SUM(F34:L34)</f>
        <v>2</v>
      </c>
      <c r="N34" s="6">
        <f t="shared" ref="N34:N65" si="3">COUNTIF(F34:L34,"&gt;0")</f>
        <v>1</v>
      </c>
      <c r="O34" s="3" t="s">
        <v>81</v>
      </c>
    </row>
    <row r="35" spans="1:15" x14ac:dyDescent="0.35">
      <c r="A35" s="5">
        <v>16</v>
      </c>
      <c r="B35" s="5">
        <v>38</v>
      </c>
      <c r="C35" s="5" t="s">
        <v>50</v>
      </c>
      <c r="D35" s="5" t="s">
        <v>51</v>
      </c>
      <c r="E35" s="5" t="s">
        <v>38</v>
      </c>
      <c r="F35" s="5">
        <v>0</v>
      </c>
      <c r="G35" s="5">
        <v>0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6">
        <f t="shared" si="2"/>
        <v>1</v>
      </c>
      <c r="N35" s="6">
        <f t="shared" si="3"/>
        <v>1</v>
      </c>
      <c r="O35" s="3" t="s">
        <v>82</v>
      </c>
    </row>
    <row r="36" spans="1:15" ht="25" x14ac:dyDescent="0.35">
      <c r="A36" s="5">
        <v>16</v>
      </c>
      <c r="B36" s="5">
        <v>38</v>
      </c>
      <c r="C36" s="5" t="s">
        <v>53</v>
      </c>
      <c r="D36" s="5" t="s">
        <v>51</v>
      </c>
      <c r="E36" s="5" t="s">
        <v>38</v>
      </c>
      <c r="F36" s="5">
        <v>0</v>
      </c>
      <c r="G36" s="5">
        <v>3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6">
        <f t="shared" si="2"/>
        <v>4</v>
      </c>
      <c r="N36" s="6">
        <f t="shared" si="3"/>
        <v>2</v>
      </c>
      <c r="O36" s="3" t="s">
        <v>83</v>
      </c>
    </row>
    <row r="37" spans="1:15" x14ac:dyDescent="0.35">
      <c r="A37" s="5">
        <v>27</v>
      </c>
      <c r="B37" s="5">
        <v>39</v>
      </c>
      <c r="C37" s="5" t="s">
        <v>36</v>
      </c>
      <c r="D37" s="5" t="s">
        <v>37</v>
      </c>
      <c r="E37" s="5" t="s">
        <v>38</v>
      </c>
      <c r="F37" s="5">
        <v>0</v>
      </c>
      <c r="G37" s="5">
        <v>1</v>
      </c>
      <c r="H37" s="5">
        <v>0</v>
      </c>
      <c r="I37" s="5">
        <v>0</v>
      </c>
      <c r="J37" s="5">
        <v>0</v>
      </c>
      <c r="K37" s="5">
        <v>1</v>
      </c>
      <c r="L37" s="5">
        <v>0</v>
      </c>
      <c r="M37" s="6">
        <f t="shared" si="2"/>
        <v>2</v>
      </c>
      <c r="N37" s="6">
        <f t="shared" si="3"/>
        <v>2</v>
      </c>
      <c r="O37" s="3" t="s">
        <v>84</v>
      </c>
    </row>
    <row r="38" spans="1:15" x14ac:dyDescent="0.35">
      <c r="A38" s="5">
        <v>27</v>
      </c>
      <c r="B38" s="5">
        <v>39</v>
      </c>
      <c r="C38" s="5" t="s">
        <v>43</v>
      </c>
      <c r="D38" s="5" t="s">
        <v>41</v>
      </c>
      <c r="E38" s="5" t="s">
        <v>38</v>
      </c>
      <c r="F38" s="5">
        <v>1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6">
        <f t="shared" si="2"/>
        <v>1</v>
      </c>
      <c r="N38" s="6">
        <f t="shared" si="3"/>
        <v>1</v>
      </c>
      <c r="O38" s="3" t="s">
        <v>85</v>
      </c>
    </row>
    <row r="39" spans="1:15" x14ac:dyDescent="0.35">
      <c r="A39" s="5">
        <v>27</v>
      </c>
      <c r="B39" s="5">
        <v>39</v>
      </c>
      <c r="C39" s="5" t="s">
        <v>86</v>
      </c>
      <c r="D39" s="5" t="s">
        <v>41</v>
      </c>
      <c r="E39" s="5" t="s">
        <v>38</v>
      </c>
      <c r="F39" s="5">
        <v>0</v>
      </c>
      <c r="G39" s="5">
        <v>0</v>
      </c>
      <c r="H39" s="5">
        <v>0</v>
      </c>
      <c r="I39" s="5">
        <v>0</v>
      </c>
      <c r="J39" s="5">
        <v>1</v>
      </c>
      <c r="K39" s="5">
        <v>0</v>
      </c>
      <c r="L39" s="5">
        <v>0</v>
      </c>
      <c r="M39" s="6">
        <f t="shared" si="2"/>
        <v>1</v>
      </c>
      <c r="N39" s="6">
        <f t="shared" si="3"/>
        <v>1</v>
      </c>
      <c r="O39" s="3" t="s">
        <v>87</v>
      </c>
    </row>
    <row r="40" spans="1:15" x14ac:dyDescent="0.35">
      <c r="A40" s="5">
        <v>27</v>
      </c>
      <c r="B40" s="5">
        <v>39</v>
      </c>
      <c r="C40" s="5" t="s">
        <v>47</v>
      </c>
      <c r="D40" s="5" t="s">
        <v>48</v>
      </c>
      <c r="E40" s="5" t="s">
        <v>38</v>
      </c>
      <c r="F40" s="5">
        <v>0</v>
      </c>
      <c r="G40" s="5">
        <v>0</v>
      </c>
      <c r="H40" s="5">
        <v>0</v>
      </c>
      <c r="I40" s="5">
        <v>0</v>
      </c>
      <c r="J40" s="5">
        <v>1</v>
      </c>
      <c r="K40" s="5">
        <v>1</v>
      </c>
      <c r="L40" s="5">
        <v>0</v>
      </c>
      <c r="M40" s="6">
        <f t="shared" si="2"/>
        <v>2</v>
      </c>
      <c r="N40" s="6">
        <f t="shared" si="3"/>
        <v>2</v>
      </c>
      <c r="O40" s="3" t="s">
        <v>88</v>
      </c>
    </row>
    <row r="41" spans="1:15" x14ac:dyDescent="0.35">
      <c r="A41" s="5">
        <v>27</v>
      </c>
      <c r="B41" s="5">
        <v>39</v>
      </c>
      <c r="C41" s="5" t="s">
        <v>59</v>
      </c>
      <c r="D41" s="5" t="s">
        <v>48</v>
      </c>
      <c r="E41" s="5" t="s">
        <v>38</v>
      </c>
      <c r="F41" s="5">
        <v>0</v>
      </c>
      <c r="G41" s="5">
        <v>0</v>
      </c>
      <c r="H41" s="5">
        <v>1</v>
      </c>
      <c r="I41" s="5">
        <v>0</v>
      </c>
      <c r="J41" s="5">
        <v>1</v>
      </c>
      <c r="K41" s="5">
        <v>1</v>
      </c>
      <c r="L41" s="5">
        <v>0</v>
      </c>
      <c r="M41" s="6">
        <f t="shared" si="2"/>
        <v>3</v>
      </c>
      <c r="N41" s="6">
        <f t="shared" si="3"/>
        <v>3</v>
      </c>
      <c r="O41" s="3" t="s">
        <v>89</v>
      </c>
    </row>
    <row r="42" spans="1:15" x14ac:dyDescent="0.35">
      <c r="A42" s="5">
        <v>27</v>
      </c>
      <c r="B42" s="5">
        <v>39</v>
      </c>
      <c r="C42" s="5" t="s">
        <v>50</v>
      </c>
      <c r="D42" s="5" t="s">
        <v>51</v>
      </c>
      <c r="E42" s="5" t="s">
        <v>38</v>
      </c>
      <c r="F42" s="5">
        <v>0</v>
      </c>
      <c r="G42" s="5">
        <v>0</v>
      </c>
      <c r="H42" s="5">
        <v>1</v>
      </c>
      <c r="I42" s="5">
        <v>0</v>
      </c>
      <c r="J42" s="5">
        <v>0</v>
      </c>
      <c r="K42" s="5">
        <v>0</v>
      </c>
      <c r="L42" s="5">
        <v>0</v>
      </c>
      <c r="M42" s="6">
        <f t="shared" si="2"/>
        <v>1</v>
      </c>
      <c r="N42" s="6">
        <f t="shared" si="3"/>
        <v>1</v>
      </c>
      <c r="O42" s="3" t="s">
        <v>90</v>
      </c>
    </row>
    <row r="43" spans="1:15" x14ac:dyDescent="0.35">
      <c r="A43" s="5">
        <v>27</v>
      </c>
      <c r="B43" s="5">
        <v>39</v>
      </c>
      <c r="C43" s="5" t="s">
        <v>53</v>
      </c>
      <c r="D43" s="5" t="s">
        <v>51</v>
      </c>
      <c r="E43" s="5" t="s">
        <v>38</v>
      </c>
      <c r="F43" s="5">
        <v>0</v>
      </c>
      <c r="G43" s="5">
        <v>1</v>
      </c>
      <c r="H43" s="5">
        <v>0</v>
      </c>
      <c r="I43" s="5">
        <v>0</v>
      </c>
      <c r="J43" s="5">
        <v>1</v>
      </c>
      <c r="K43" s="5">
        <v>1</v>
      </c>
      <c r="L43" s="5">
        <v>0</v>
      </c>
      <c r="M43" s="6">
        <f t="shared" si="2"/>
        <v>3</v>
      </c>
      <c r="N43" s="6">
        <f t="shared" si="3"/>
        <v>3</v>
      </c>
      <c r="O43" s="3" t="s">
        <v>91</v>
      </c>
    </row>
    <row r="44" spans="1:15" x14ac:dyDescent="0.35">
      <c r="A44" s="5">
        <v>30</v>
      </c>
      <c r="B44" s="5">
        <v>40</v>
      </c>
      <c r="C44" s="5" t="s">
        <v>36</v>
      </c>
      <c r="D44" s="5" t="s">
        <v>37</v>
      </c>
      <c r="E44" s="5" t="s">
        <v>38</v>
      </c>
      <c r="F44" s="5">
        <v>0</v>
      </c>
      <c r="G44" s="5">
        <v>1</v>
      </c>
      <c r="H44" s="5">
        <v>0</v>
      </c>
      <c r="I44" s="5">
        <v>1</v>
      </c>
      <c r="J44" s="5">
        <v>1</v>
      </c>
      <c r="K44" s="5">
        <v>0</v>
      </c>
      <c r="L44" s="5">
        <v>0</v>
      </c>
      <c r="M44" s="6">
        <f t="shared" si="2"/>
        <v>3</v>
      </c>
      <c r="N44" s="6">
        <f t="shared" si="3"/>
        <v>3</v>
      </c>
      <c r="O44" s="3" t="s">
        <v>92</v>
      </c>
    </row>
    <row r="45" spans="1:15" x14ac:dyDescent="0.35">
      <c r="A45" s="5">
        <v>30</v>
      </c>
      <c r="B45" s="5">
        <v>40</v>
      </c>
      <c r="C45" s="5" t="s">
        <v>40</v>
      </c>
      <c r="D45" s="5" t="s">
        <v>41</v>
      </c>
      <c r="E45" s="5" t="s">
        <v>38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1</v>
      </c>
      <c r="M45" s="6">
        <f t="shared" si="2"/>
        <v>1</v>
      </c>
      <c r="N45" s="6">
        <f t="shared" si="3"/>
        <v>1</v>
      </c>
      <c r="O45" s="3" t="s">
        <v>93</v>
      </c>
    </row>
    <row r="46" spans="1:15" x14ac:dyDescent="0.35">
      <c r="A46" s="5">
        <v>30</v>
      </c>
      <c r="B46" s="5">
        <v>40</v>
      </c>
      <c r="C46" s="5" t="s">
        <v>86</v>
      </c>
      <c r="D46" s="5" t="s">
        <v>41</v>
      </c>
      <c r="E46" s="5" t="s">
        <v>38</v>
      </c>
      <c r="F46" s="5">
        <v>0</v>
      </c>
      <c r="G46" s="5">
        <v>0</v>
      </c>
      <c r="H46" s="5">
        <v>0</v>
      </c>
      <c r="I46" s="5">
        <v>0</v>
      </c>
      <c r="J46" s="5">
        <v>1</v>
      </c>
      <c r="K46" s="5">
        <v>0</v>
      </c>
      <c r="L46" s="5">
        <v>0</v>
      </c>
      <c r="M46" s="6">
        <f t="shared" si="2"/>
        <v>1</v>
      </c>
      <c r="N46" s="6">
        <f t="shared" si="3"/>
        <v>1</v>
      </c>
      <c r="O46" s="3" t="s">
        <v>94</v>
      </c>
    </row>
    <row r="47" spans="1:15" x14ac:dyDescent="0.35">
      <c r="A47" s="5">
        <v>30</v>
      </c>
      <c r="B47" s="5">
        <v>40</v>
      </c>
      <c r="C47" s="5" t="s">
        <v>66</v>
      </c>
      <c r="D47" s="5" t="s">
        <v>48</v>
      </c>
      <c r="E47" s="5" t="s">
        <v>38</v>
      </c>
      <c r="F47" s="5">
        <v>0</v>
      </c>
      <c r="G47" s="5">
        <v>0</v>
      </c>
      <c r="H47" s="5">
        <v>1</v>
      </c>
      <c r="I47" s="5">
        <v>0</v>
      </c>
      <c r="J47" s="5">
        <v>1</v>
      </c>
      <c r="K47" s="5">
        <v>0</v>
      </c>
      <c r="L47" s="5">
        <v>0</v>
      </c>
      <c r="M47" s="6">
        <f t="shared" si="2"/>
        <v>2</v>
      </c>
      <c r="N47" s="6">
        <f t="shared" si="3"/>
        <v>2</v>
      </c>
      <c r="O47" s="3" t="s">
        <v>95</v>
      </c>
    </row>
    <row r="48" spans="1:15" x14ac:dyDescent="0.35">
      <c r="A48" s="5">
        <v>30</v>
      </c>
      <c r="B48" s="5">
        <v>40</v>
      </c>
      <c r="C48" s="5" t="s">
        <v>59</v>
      </c>
      <c r="D48" s="5" t="s">
        <v>48</v>
      </c>
      <c r="E48" s="5" t="s">
        <v>38</v>
      </c>
      <c r="F48" s="5">
        <v>0</v>
      </c>
      <c r="G48" s="5">
        <v>0</v>
      </c>
      <c r="H48" s="5">
        <v>1</v>
      </c>
      <c r="I48" s="5">
        <v>1</v>
      </c>
      <c r="J48" s="5">
        <v>1</v>
      </c>
      <c r="K48" s="5">
        <v>0</v>
      </c>
      <c r="L48" s="5">
        <v>0</v>
      </c>
      <c r="M48" s="6">
        <f t="shared" si="2"/>
        <v>3</v>
      </c>
      <c r="N48" s="6">
        <f t="shared" si="3"/>
        <v>3</v>
      </c>
      <c r="O48" s="3" t="s">
        <v>96</v>
      </c>
    </row>
    <row r="49" spans="1:15" x14ac:dyDescent="0.35">
      <c r="A49" s="5">
        <v>30</v>
      </c>
      <c r="B49" s="5">
        <v>40</v>
      </c>
      <c r="C49" s="5" t="s">
        <v>50</v>
      </c>
      <c r="D49" s="5" t="s">
        <v>51</v>
      </c>
      <c r="E49" s="5" t="s">
        <v>38</v>
      </c>
      <c r="F49" s="5">
        <v>0</v>
      </c>
      <c r="G49" s="5">
        <v>0</v>
      </c>
      <c r="H49" s="5">
        <v>1</v>
      </c>
      <c r="I49" s="5">
        <v>1</v>
      </c>
      <c r="J49" s="5">
        <v>0</v>
      </c>
      <c r="K49" s="5">
        <v>0</v>
      </c>
      <c r="L49" s="5">
        <v>0</v>
      </c>
      <c r="M49" s="6">
        <f t="shared" si="2"/>
        <v>2</v>
      </c>
      <c r="N49" s="6">
        <f t="shared" si="3"/>
        <v>2</v>
      </c>
      <c r="O49" s="3" t="s">
        <v>97</v>
      </c>
    </row>
    <row r="50" spans="1:15" x14ac:dyDescent="0.35">
      <c r="A50" s="5">
        <v>30</v>
      </c>
      <c r="B50" s="5">
        <v>40</v>
      </c>
      <c r="C50" s="5" t="s">
        <v>53</v>
      </c>
      <c r="D50" s="5" t="s">
        <v>51</v>
      </c>
      <c r="E50" s="5" t="s">
        <v>38</v>
      </c>
      <c r="F50" s="5">
        <v>0</v>
      </c>
      <c r="G50" s="5">
        <v>1</v>
      </c>
      <c r="H50" s="5">
        <v>1</v>
      </c>
      <c r="I50" s="5">
        <v>0</v>
      </c>
      <c r="J50" s="5">
        <v>1</v>
      </c>
      <c r="K50" s="5">
        <v>0</v>
      </c>
      <c r="L50" s="5">
        <v>0</v>
      </c>
      <c r="M50" s="6">
        <f t="shared" si="2"/>
        <v>3</v>
      </c>
      <c r="N50" s="6">
        <f t="shared" si="3"/>
        <v>3</v>
      </c>
      <c r="O50" s="3" t="s">
        <v>98</v>
      </c>
    </row>
    <row r="51" spans="1:15" x14ac:dyDescent="0.35">
      <c r="A51" s="5">
        <v>33</v>
      </c>
      <c r="B51" s="5">
        <v>41</v>
      </c>
      <c r="C51" s="5" t="s">
        <v>36</v>
      </c>
      <c r="D51" s="5" t="s">
        <v>37</v>
      </c>
      <c r="E51" s="5" t="s">
        <v>99</v>
      </c>
      <c r="F51" s="5">
        <v>0</v>
      </c>
      <c r="G51" s="5">
        <v>3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6">
        <f t="shared" si="2"/>
        <v>3</v>
      </c>
      <c r="N51" s="6">
        <f t="shared" si="3"/>
        <v>1</v>
      </c>
      <c r="O51" s="3" t="s">
        <v>100</v>
      </c>
    </row>
    <row r="52" spans="1:15" x14ac:dyDescent="0.35">
      <c r="A52" s="5">
        <v>33</v>
      </c>
      <c r="B52" s="5">
        <v>41</v>
      </c>
      <c r="C52" s="5" t="s">
        <v>40</v>
      </c>
      <c r="D52" s="5" t="s">
        <v>41</v>
      </c>
      <c r="E52" s="5" t="s">
        <v>99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1</v>
      </c>
      <c r="M52" s="6">
        <f t="shared" si="2"/>
        <v>1</v>
      </c>
      <c r="N52" s="6">
        <f t="shared" si="3"/>
        <v>1</v>
      </c>
      <c r="O52" s="3" t="s">
        <v>101</v>
      </c>
    </row>
    <row r="53" spans="1:15" x14ac:dyDescent="0.35">
      <c r="A53" s="5">
        <v>33</v>
      </c>
      <c r="B53" s="5">
        <v>41</v>
      </c>
      <c r="C53" s="5" t="s">
        <v>43</v>
      </c>
      <c r="D53" s="5" t="s">
        <v>41</v>
      </c>
      <c r="E53" s="5" t="s">
        <v>99</v>
      </c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6">
        <f t="shared" si="2"/>
        <v>1</v>
      </c>
      <c r="N53" s="6">
        <f t="shared" si="3"/>
        <v>1</v>
      </c>
      <c r="O53" s="3" t="s">
        <v>102</v>
      </c>
    </row>
    <row r="54" spans="1:15" x14ac:dyDescent="0.35">
      <c r="A54" s="5">
        <v>33</v>
      </c>
      <c r="B54" s="5">
        <v>41</v>
      </c>
      <c r="C54" s="5" t="s">
        <v>66</v>
      </c>
      <c r="D54" s="5" t="s">
        <v>48</v>
      </c>
      <c r="E54" s="5" t="s">
        <v>99</v>
      </c>
      <c r="F54" s="5">
        <v>0</v>
      </c>
      <c r="G54" s="5">
        <v>1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6">
        <f t="shared" si="2"/>
        <v>1</v>
      </c>
      <c r="N54" s="6">
        <f t="shared" si="3"/>
        <v>1</v>
      </c>
      <c r="O54" s="3" t="s">
        <v>103</v>
      </c>
    </row>
    <row r="55" spans="1:15" x14ac:dyDescent="0.35">
      <c r="A55" s="5">
        <v>33</v>
      </c>
      <c r="B55" s="5">
        <v>41</v>
      </c>
      <c r="C55" s="5" t="s">
        <v>59</v>
      </c>
      <c r="D55" s="5" t="s">
        <v>48</v>
      </c>
      <c r="E55" s="5" t="s">
        <v>99</v>
      </c>
      <c r="F55" s="5">
        <v>0</v>
      </c>
      <c r="G55" s="5">
        <v>1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6">
        <f t="shared" si="2"/>
        <v>1</v>
      </c>
      <c r="N55" s="6">
        <f t="shared" si="3"/>
        <v>1</v>
      </c>
      <c r="O55" s="3" t="s">
        <v>104</v>
      </c>
    </row>
    <row r="56" spans="1:15" x14ac:dyDescent="0.35">
      <c r="A56" s="5">
        <v>33</v>
      </c>
      <c r="B56" s="5">
        <v>41</v>
      </c>
      <c r="C56" s="5" t="s">
        <v>50</v>
      </c>
      <c r="D56" s="5" t="s">
        <v>51</v>
      </c>
      <c r="E56" s="5" t="s">
        <v>99</v>
      </c>
      <c r="F56" s="5">
        <v>0</v>
      </c>
      <c r="G56" s="5">
        <v>2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6">
        <f t="shared" si="2"/>
        <v>2</v>
      </c>
      <c r="N56" s="6">
        <f t="shared" si="3"/>
        <v>1</v>
      </c>
      <c r="O56" s="3" t="s">
        <v>105</v>
      </c>
    </row>
    <row r="57" spans="1:15" x14ac:dyDescent="0.35">
      <c r="A57" s="5">
        <v>33</v>
      </c>
      <c r="B57" s="5">
        <v>41</v>
      </c>
      <c r="C57" s="5" t="s">
        <v>53</v>
      </c>
      <c r="D57" s="5" t="s">
        <v>51</v>
      </c>
      <c r="E57" s="5" t="s">
        <v>99</v>
      </c>
      <c r="F57" s="5">
        <v>0</v>
      </c>
      <c r="G57" s="5">
        <v>3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6">
        <f t="shared" si="2"/>
        <v>3</v>
      </c>
      <c r="N57" s="6">
        <f t="shared" si="3"/>
        <v>1</v>
      </c>
      <c r="O57" s="3" t="s">
        <v>106</v>
      </c>
    </row>
    <row r="58" spans="1:15" x14ac:dyDescent="0.35">
      <c r="A58" s="5">
        <v>38</v>
      </c>
      <c r="B58" s="5">
        <v>42</v>
      </c>
      <c r="C58" s="5" t="s">
        <v>36</v>
      </c>
      <c r="D58" s="5" t="s">
        <v>37</v>
      </c>
      <c r="E58" s="5" t="s">
        <v>99</v>
      </c>
      <c r="F58" s="5">
        <v>0</v>
      </c>
      <c r="G58" s="5">
        <v>2</v>
      </c>
      <c r="H58" s="5">
        <v>0</v>
      </c>
      <c r="I58" s="5">
        <v>0</v>
      </c>
      <c r="J58" s="5">
        <v>0</v>
      </c>
      <c r="K58" s="5">
        <v>1</v>
      </c>
      <c r="L58" s="5">
        <v>0</v>
      </c>
      <c r="M58" s="6">
        <f t="shared" si="2"/>
        <v>3</v>
      </c>
      <c r="N58" s="6">
        <f t="shared" si="3"/>
        <v>2</v>
      </c>
      <c r="O58" s="3" t="s">
        <v>107</v>
      </c>
    </row>
    <row r="59" spans="1:15" x14ac:dyDescent="0.35">
      <c r="A59" s="5">
        <v>38</v>
      </c>
      <c r="B59" s="5">
        <v>42</v>
      </c>
      <c r="C59" s="5" t="s">
        <v>40</v>
      </c>
      <c r="D59" s="5" t="s">
        <v>41</v>
      </c>
      <c r="E59" s="5" t="s">
        <v>99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1</v>
      </c>
      <c r="M59" s="6">
        <f t="shared" si="2"/>
        <v>1</v>
      </c>
      <c r="N59" s="6">
        <f t="shared" si="3"/>
        <v>1</v>
      </c>
      <c r="O59" s="3" t="s">
        <v>108</v>
      </c>
    </row>
    <row r="60" spans="1:15" x14ac:dyDescent="0.35">
      <c r="A60" s="5">
        <v>38</v>
      </c>
      <c r="B60" s="5">
        <v>42</v>
      </c>
      <c r="C60" s="5" t="s">
        <v>45</v>
      </c>
      <c r="D60" s="5" t="s">
        <v>41</v>
      </c>
      <c r="E60" s="5" t="s">
        <v>99</v>
      </c>
      <c r="F60" s="5">
        <v>0</v>
      </c>
      <c r="G60" s="5">
        <v>0</v>
      </c>
      <c r="H60" s="5">
        <v>0</v>
      </c>
      <c r="I60" s="5">
        <v>1</v>
      </c>
      <c r="J60" s="5">
        <v>0</v>
      </c>
      <c r="K60" s="5">
        <v>0</v>
      </c>
      <c r="L60" s="5">
        <v>0</v>
      </c>
      <c r="M60" s="6">
        <f t="shared" si="2"/>
        <v>1</v>
      </c>
      <c r="N60" s="6">
        <f t="shared" si="3"/>
        <v>1</v>
      </c>
      <c r="O60" s="3" t="s">
        <v>109</v>
      </c>
    </row>
    <row r="61" spans="1:15" x14ac:dyDescent="0.35">
      <c r="A61" s="5">
        <v>38</v>
      </c>
      <c r="B61" s="5">
        <v>42</v>
      </c>
      <c r="C61" s="5" t="s">
        <v>47</v>
      </c>
      <c r="D61" s="5" t="s">
        <v>48</v>
      </c>
      <c r="E61" s="5" t="s">
        <v>99</v>
      </c>
      <c r="F61" s="5">
        <v>0</v>
      </c>
      <c r="G61" s="5">
        <v>3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6">
        <f t="shared" si="2"/>
        <v>3</v>
      </c>
      <c r="N61" s="6">
        <f t="shared" si="3"/>
        <v>1</v>
      </c>
      <c r="O61" s="3" t="s">
        <v>110</v>
      </c>
    </row>
    <row r="62" spans="1:15" x14ac:dyDescent="0.35">
      <c r="A62" s="5">
        <v>38</v>
      </c>
      <c r="B62" s="5">
        <v>42</v>
      </c>
      <c r="C62" s="5" t="s">
        <v>66</v>
      </c>
      <c r="D62" s="5" t="s">
        <v>48</v>
      </c>
      <c r="E62" s="5" t="s">
        <v>99</v>
      </c>
      <c r="F62" s="5">
        <v>0</v>
      </c>
      <c r="G62" s="5">
        <v>1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6">
        <f t="shared" si="2"/>
        <v>1</v>
      </c>
      <c r="N62" s="6">
        <f t="shared" si="3"/>
        <v>1</v>
      </c>
      <c r="O62" s="3" t="s">
        <v>111</v>
      </c>
    </row>
    <row r="63" spans="1:15" x14ac:dyDescent="0.35">
      <c r="A63" s="5">
        <v>38</v>
      </c>
      <c r="B63" s="5">
        <v>42</v>
      </c>
      <c r="C63" s="5" t="s">
        <v>50</v>
      </c>
      <c r="D63" s="5" t="s">
        <v>51</v>
      </c>
      <c r="E63" s="5" t="s">
        <v>99</v>
      </c>
      <c r="F63" s="5">
        <v>1</v>
      </c>
      <c r="G63" s="5">
        <v>2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6">
        <f t="shared" si="2"/>
        <v>3</v>
      </c>
      <c r="N63" s="6">
        <f t="shared" si="3"/>
        <v>2</v>
      </c>
      <c r="O63" s="3" t="s">
        <v>112</v>
      </c>
    </row>
    <row r="64" spans="1:15" x14ac:dyDescent="0.35">
      <c r="A64" s="5">
        <v>38</v>
      </c>
      <c r="B64" s="5">
        <v>42</v>
      </c>
      <c r="C64" s="5" t="s">
        <v>53</v>
      </c>
      <c r="D64" s="5" t="s">
        <v>51</v>
      </c>
      <c r="E64" s="5" t="s">
        <v>99</v>
      </c>
      <c r="F64" s="5">
        <v>0</v>
      </c>
      <c r="G64" s="5">
        <v>1</v>
      </c>
      <c r="H64" s="5">
        <v>0</v>
      </c>
      <c r="I64" s="5">
        <v>0</v>
      </c>
      <c r="J64" s="5">
        <v>0</v>
      </c>
      <c r="K64" s="5">
        <v>1</v>
      </c>
      <c r="L64" s="5">
        <v>0</v>
      </c>
      <c r="M64" s="6">
        <f t="shared" si="2"/>
        <v>2</v>
      </c>
      <c r="N64" s="6">
        <f t="shared" si="3"/>
        <v>2</v>
      </c>
      <c r="O64" s="3" t="s">
        <v>113</v>
      </c>
    </row>
    <row r="65" spans="1:15" x14ac:dyDescent="0.35">
      <c r="A65" s="5">
        <v>39</v>
      </c>
      <c r="B65" s="5">
        <v>43</v>
      </c>
      <c r="C65" s="5" t="s">
        <v>36</v>
      </c>
      <c r="D65" s="5" t="s">
        <v>37</v>
      </c>
      <c r="E65" s="5" t="s">
        <v>99</v>
      </c>
      <c r="F65" s="5">
        <v>1</v>
      </c>
      <c r="G65" s="5">
        <v>2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6">
        <f t="shared" si="2"/>
        <v>3</v>
      </c>
      <c r="N65" s="6">
        <f t="shared" si="3"/>
        <v>2</v>
      </c>
      <c r="O65" s="3" t="s">
        <v>114</v>
      </c>
    </row>
    <row r="66" spans="1:15" x14ac:dyDescent="0.35">
      <c r="A66" s="5">
        <v>39</v>
      </c>
      <c r="B66" s="5">
        <v>43</v>
      </c>
      <c r="C66" s="5" t="s">
        <v>40</v>
      </c>
      <c r="D66" s="5" t="s">
        <v>41</v>
      </c>
      <c r="E66" s="5" t="s">
        <v>99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1</v>
      </c>
      <c r="M66" s="6">
        <f t="shared" ref="M66:M97" si="4">SUM(F66:L66)</f>
        <v>1</v>
      </c>
      <c r="N66" s="6">
        <f t="shared" ref="N66:N97" si="5">COUNTIF(F66:L66,"&gt;0")</f>
        <v>1</v>
      </c>
      <c r="O66" s="3" t="s">
        <v>115</v>
      </c>
    </row>
    <row r="67" spans="1:15" x14ac:dyDescent="0.35">
      <c r="A67" s="5">
        <v>39</v>
      </c>
      <c r="B67" s="5">
        <v>43</v>
      </c>
      <c r="C67" s="5" t="s">
        <v>43</v>
      </c>
      <c r="D67" s="5" t="s">
        <v>41</v>
      </c>
      <c r="E67" s="5" t="s">
        <v>99</v>
      </c>
      <c r="F67" s="5">
        <v>1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6">
        <f t="shared" si="4"/>
        <v>1</v>
      </c>
      <c r="N67" s="6">
        <f t="shared" si="5"/>
        <v>1</v>
      </c>
      <c r="O67" s="3" t="s">
        <v>116</v>
      </c>
    </row>
    <row r="68" spans="1:15" x14ac:dyDescent="0.35">
      <c r="A68" s="5">
        <v>39</v>
      </c>
      <c r="B68" s="5">
        <v>43</v>
      </c>
      <c r="C68" s="5" t="s">
        <v>47</v>
      </c>
      <c r="D68" s="5" t="s">
        <v>48</v>
      </c>
      <c r="E68" s="5" t="s">
        <v>99</v>
      </c>
      <c r="F68" s="5">
        <v>0</v>
      </c>
      <c r="G68" s="5">
        <v>3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6">
        <f t="shared" si="4"/>
        <v>3</v>
      </c>
      <c r="N68" s="6">
        <f t="shared" si="5"/>
        <v>1</v>
      </c>
      <c r="O68" s="3" t="s">
        <v>117</v>
      </c>
    </row>
    <row r="69" spans="1:15" x14ac:dyDescent="0.35">
      <c r="A69" s="5">
        <v>39</v>
      </c>
      <c r="B69" s="5">
        <v>43</v>
      </c>
      <c r="C69" s="5" t="s">
        <v>66</v>
      </c>
      <c r="D69" s="5" t="s">
        <v>48</v>
      </c>
      <c r="E69" s="5" t="s">
        <v>99</v>
      </c>
      <c r="F69" s="5">
        <v>0</v>
      </c>
      <c r="G69" s="5">
        <v>1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6">
        <f t="shared" si="4"/>
        <v>1</v>
      </c>
      <c r="N69" s="6">
        <f t="shared" si="5"/>
        <v>1</v>
      </c>
      <c r="O69" s="3" t="s">
        <v>118</v>
      </c>
    </row>
    <row r="70" spans="1:15" x14ac:dyDescent="0.35">
      <c r="A70" s="5">
        <v>39</v>
      </c>
      <c r="B70" s="5">
        <v>43</v>
      </c>
      <c r="C70" s="5" t="s">
        <v>50</v>
      </c>
      <c r="D70" s="5" t="s">
        <v>51</v>
      </c>
      <c r="E70" s="5" t="s">
        <v>99</v>
      </c>
      <c r="F70" s="5">
        <v>1</v>
      </c>
      <c r="G70" s="5">
        <v>2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6">
        <f t="shared" si="4"/>
        <v>3</v>
      </c>
      <c r="N70" s="6">
        <f t="shared" si="5"/>
        <v>2</v>
      </c>
      <c r="O70" s="3" t="s">
        <v>119</v>
      </c>
    </row>
    <row r="71" spans="1:15" x14ac:dyDescent="0.35">
      <c r="A71" s="5">
        <v>39</v>
      </c>
      <c r="B71" s="5">
        <v>43</v>
      </c>
      <c r="C71" s="5" t="s">
        <v>53</v>
      </c>
      <c r="D71" s="5" t="s">
        <v>51</v>
      </c>
      <c r="E71" s="5" t="s">
        <v>99</v>
      </c>
      <c r="F71" s="5">
        <v>0</v>
      </c>
      <c r="G71" s="5">
        <v>3</v>
      </c>
      <c r="H71" s="5">
        <v>0</v>
      </c>
      <c r="I71" s="5">
        <v>0</v>
      </c>
      <c r="J71" s="5">
        <v>0</v>
      </c>
      <c r="K71" s="5">
        <v>0</v>
      </c>
      <c r="L71" s="5">
        <v>1</v>
      </c>
      <c r="M71" s="6">
        <f t="shared" si="4"/>
        <v>4</v>
      </c>
      <c r="N71" s="6">
        <f t="shared" si="5"/>
        <v>2</v>
      </c>
      <c r="O71" s="3" t="s">
        <v>120</v>
      </c>
    </row>
    <row r="72" spans="1:15" x14ac:dyDescent="0.35">
      <c r="A72" s="5">
        <v>40</v>
      </c>
      <c r="B72" s="5">
        <v>44</v>
      </c>
      <c r="C72" s="5" t="s">
        <v>36</v>
      </c>
      <c r="D72" s="5" t="s">
        <v>37</v>
      </c>
      <c r="E72" s="5" t="s">
        <v>99</v>
      </c>
      <c r="F72" s="5">
        <v>1</v>
      </c>
      <c r="G72" s="5">
        <v>2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6">
        <f t="shared" si="4"/>
        <v>3</v>
      </c>
      <c r="N72" s="6">
        <f t="shared" si="5"/>
        <v>2</v>
      </c>
      <c r="O72" s="3" t="s">
        <v>121</v>
      </c>
    </row>
    <row r="73" spans="1:15" x14ac:dyDescent="0.35">
      <c r="A73" s="5">
        <v>40</v>
      </c>
      <c r="B73" s="5">
        <v>44</v>
      </c>
      <c r="C73" s="5" t="s">
        <v>40</v>
      </c>
      <c r="D73" s="5" t="s">
        <v>41</v>
      </c>
      <c r="E73" s="5" t="s">
        <v>99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1</v>
      </c>
      <c r="M73" s="6">
        <f t="shared" si="4"/>
        <v>1</v>
      </c>
      <c r="N73" s="6">
        <f t="shared" si="5"/>
        <v>1</v>
      </c>
      <c r="O73" s="3" t="s">
        <v>101</v>
      </c>
    </row>
    <row r="74" spans="1:15" x14ac:dyDescent="0.35">
      <c r="A74" s="5">
        <v>40</v>
      </c>
      <c r="B74" s="5">
        <v>44</v>
      </c>
      <c r="C74" s="5" t="s">
        <v>43</v>
      </c>
      <c r="D74" s="5" t="s">
        <v>41</v>
      </c>
      <c r="E74" s="5" t="s">
        <v>99</v>
      </c>
      <c r="F74" s="5">
        <v>1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6">
        <f t="shared" si="4"/>
        <v>1</v>
      </c>
      <c r="N74" s="6">
        <f t="shared" si="5"/>
        <v>1</v>
      </c>
      <c r="O74" s="3" t="s">
        <v>122</v>
      </c>
    </row>
    <row r="75" spans="1:15" x14ac:dyDescent="0.35">
      <c r="A75" s="5">
        <v>40</v>
      </c>
      <c r="B75" s="5">
        <v>44</v>
      </c>
      <c r="C75" s="5" t="s">
        <v>47</v>
      </c>
      <c r="D75" s="5" t="s">
        <v>48</v>
      </c>
      <c r="E75" s="5" t="s">
        <v>99</v>
      </c>
      <c r="F75" s="5">
        <v>0</v>
      </c>
      <c r="G75" s="5">
        <v>3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6">
        <f t="shared" si="4"/>
        <v>3</v>
      </c>
      <c r="N75" s="6">
        <f t="shared" si="5"/>
        <v>1</v>
      </c>
      <c r="O75" s="3" t="s">
        <v>123</v>
      </c>
    </row>
    <row r="76" spans="1:15" x14ac:dyDescent="0.35">
      <c r="A76" s="5">
        <v>40</v>
      </c>
      <c r="B76" s="5">
        <v>44</v>
      </c>
      <c r="C76" s="5" t="s">
        <v>66</v>
      </c>
      <c r="D76" s="5" t="s">
        <v>48</v>
      </c>
      <c r="E76" s="5" t="s">
        <v>99</v>
      </c>
      <c r="F76" s="5">
        <v>0</v>
      </c>
      <c r="G76" s="5">
        <v>1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6">
        <f t="shared" si="4"/>
        <v>1</v>
      </c>
      <c r="N76" s="6">
        <f t="shared" si="5"/>
        <v>1</v>
      </c>
      <c r="O76" s="3" t="s">
        <v>124</v>
      </c>
    </row>
    <row r="77" spans="1:15" x14ac:dyDescent="0.35">
      <c r="A77" s="5">
        <v>40</v>
      </c>
      <c r="B77" s="5">
        <v>44</v>
      </c>
      <c r="C77" s="5" t="s">
        <v>50</v>
      </c>
      <c r="D77" s="5" t="s">
        <v>51</v>
      </c>
      <c r="E77" s="5" t="s">
        <v>99</v>
      </c>
      <c r="F77" s="5">
        <v>1</v>
      </c>
      <c r="G77" s="5">
        <v>2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6">
        <f t="shared" si="4"/>
        <v>3</v>
      </c>
      <c r="N77" s="6">
        <f t="shared" si="5"/>
        <v>2</v>
      </c>
      <c r="O77" s="3" t="s">
        <v>125</v>
      </c>
    </row>
    <row r="78" spans="1:15" x14ac:dyDescent="0.35">
      <c r="A78" s="5">
        <v>40</v>
      </c>
      <c r="B78" s="5">
        <v>44</v>
      </c>
      <c r="C78" s="5" t="s">
        <v>53</v>
      </c>
      <c r="D78" s="5" t="s">
        <v>51</v>
      </c>
      <c r="E78" s="5" t="s">
        <v>99</v>
      </c>
      <c r="F78" s="5">
        <v>1</v>
      </c>
      <c r="G78" s="5">
        <v>4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6">
        <f t="shared" si="4"/>
        <v>5</v>
      </c>
      <c r="N78" s="6">
        <f t="shared" si="5"/>
        <v>2</v>
      </c>
      <c r="O78" s="3" t="s">
        <v>126</v>
      </c>
    </row>
    <row r="79" spans="1:15" x14ac:dyDescent="0.35">
      <c r="A79" s="5">
        <v>41</v>
      </c>
      <c r="B79" s="5">
        <v>45</v>
      </c>
      <c r="C79" s="5" t="s">
        <v>36</v>
      </c>
      <c r="D79" s="5" t="s">
        <v>37</v>
      </c>
      <c r="E79" s="5" t="s">
        <v>99</v>
      </c>
      <c r="F79" s="5">
        <v>1</v>
      </c>
      <c r="G79" s="5">
        <v>4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6">
        <f t="shared" si="4"/>
        <v>5</v>
      </c>
      <c r="N79" s="6">
        <f t="shared" si="5"/>
        <v>2</v>
      </c>
      <c r="O79" s="3" t="s">
        <v>127</v>
      </c>
    </row>
    <row r="80" spans="1:15" x14ac:dyDescent="0.35">
      <c r="A80" s="5">
        <v>41</v>
      </c>
      <c r="B80" s="5">
        <v>45</v>
      </c>
      <c r="C80" s="5" t="s">
        <v>40</v>
      </c>
      <c r="D80" s="5" t="s">
        <v>41</v>
      </c>
      <c r="E80" s="5" t="s">
        <v>99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1</v>
      </c>
      <c r="M80" s="6">
        <f t="shared" si="4"/>
        <v>1</v>
      </c>
      <c r="N80" s="6">
        <f t="shared" si="5"/>
        <v>1</v>
      </c>
      <c r="O80" s="3" t="s">
        <v>128</v>
      </c>
    </row>
    <row r="81" spans="1:15" x14ac:dyDescent="0.35">
      <c r="A81" s="5">
        <v>41</v>
      </c>
      <c r="B81" s="5">
        <v>45</v>
      </c>
      <c r="C81" s="5" t="s">
        <v>43</v>
      </c>
      <c r="D81" s="5" t="s">
        <v>41</v>
      </c>
      <c r="E81" s="5" t="s">
        <v>99</v>
      </c>
      <c r="F81" s="5">
        <v>1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6">
        <f t="shared" si="4"/>
        <v>1</v>
      </c>
      <c r="N81" s="6">
        <f t="shared" si="5"/>
        <v>1</v>
      </c>
      <c r="O81" s="3" t="s">
        <v>129</v>
      </c>
    </row>
    <row r="82" spans="1:15" x14ac:dyDescent="0.35">
      <c r="A82" s="5">
        <v>41</v>
      </c>
      <c r="B82" s="5">
        <v>45</v>
      </c>
      <c r="C82" s="5" t="s">
        <v>47</v>
      </c>
      <c r="D82" s="5" t="s">
        <v>48</v>
      </c>
      <c r="E82" s="5" t="s">
        <v>99</v>
      </c>
      <c r="F82" s="5">
        <v>0</v>
      </c>
      <c r="G82" s="5">
        <v>5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6">
        <f t="shared" si="4"/>
        <v>5</v>
      </c>
      <c r="N82" s="6">
        <f t="shared" si="5"/>
        <v>1</v>
      </c>
      <c r="O82" s="3" t="s">
        <v>130</v>
      </c>
    </row>
    <row r="83" spans="1:15" x14ac:dyDescent="0.35">
      <c r="A83" s="5">
        <v>41</v>
      </c>
      <c r="B83" s="5">
        <v>45</v>
      </c>
      <c r="C83" s="5" t="s">
        <v>66</v>
      </c>
      <c r="D83" s="5" t="s">
        <v>48</v>
      </c>
      <c r="E83" s="5" t="s">
        <v>99</v>
      </c>
      <c r="F83" s="5">
        <v>0</v>
      </c>
      <c r="G83" s="5">
        <v>2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6">
        <f t="shared" si="4"/>
        <v>2</v>
      </c>
      <c r="N83" s="6">
        <f t="shared" si="5"/>
        <v>1</v>
      </c>
      <c r="O83" s="3" t="s">
        <v>131</v>
      </c>
    </row>
    <row r="84" spans="1:15" x14ac:dyDescent="0.35">
      <c r="A84" s="5">
        <v>41</v>
      </c>
      <c r="B84" s="5">
        <v>45</v>
      </c>
      <c r="C84" s="5" t="s">
        <v>50</v>
      </c>
      <c r="D84" s="5" t="s">
        <v>51</v>
      </c>
      <c r="E84" s="5" t="s">
        <v>99</v>
      </c>
      <c r="F84" s="5">
        <v>1</v>
      </c>
      <c r="G84" s="5">
        <v>4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6">
        <f t="shared" si="4"/>
        <v>5</v>
      </c>
      <c r="N84" s="6">
        <f t="shared" si="5"/>
        <v>2</v>
      </c>
      <c r="O84" s="3" t="s">
        <v>132</v>
      </c>
    </row>
    <row r="85" spans="1:15" x14ac:dyDescent="0.35">
      <c r="A85" s="5">
        <v>41</v>
      </c>
      <c r="B85" s="5">
        <v>45</v>
      </c>
      <c r="C85" s="5" t="s">
        <v>53</v>
      </c>
      <c r="D85" s="5" t="s">
        <v>51</v>
      </c>
      <c r="E85" s="5" t="s">
        <v>99</v>
      </c>
      <c r="F85" s="5">
        <v>1</v>
      </c>
      <c r="G85" s="5">
        <v>6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6">
        <f t="shared" si="4"/>
        <v>7</v>
      </c>
      <c r="N85" s="6">
        <f t="shared" si="5"/>
        <v>2</v>
      </c>
      <c r="O85" s="3" t="s">
        <v>133</v>
      </c>
    </row>
    <row r="86" spans="1:15" x14ac:dyDescent="0.35">
      <c r="A86" s="5">
        <v>42</v>
      </c>
      <c r="B86" s="5">
        <v>46</v>
      </c>
      <c r="C86" s="5" t="s">
        <v>36</v>
      </c>
      <c r="D86" s="5" t="s">
        <v>37</v>
      </c>
      <c r="E86" s="5" t="s">
        <v>99</v>
      </c>
      <c r="F86" s="5">
        <v>1</v>
      </c>
      <c r="G86" s="5">
        <v>4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6">
        <f t="shared" si="4"/>
        <v>5</v>
      </c>
      <c r="N86" s="6">
        <f t="shared" si="5"/>
        <v>2</v>
      </c>
      <c r="O86" s="3" t="s">
        <v>134</v>
      </c>
    </row>
    <row r="87" spans="1:15" x14ac:dyDescent="0.35">
      <c r="A87" s="5">
        <v>42</v>
      </c>
      <c r="B87" s="5">
        <v>46</v>
      </c>
      <c r="C87" s="5" t="s">
        <v>40</v>
      </c>
      <c r="D87" s="5" t="s">
        <v>41</v>
      </c>
      <c r="E87" s="5" t="s">
        <v>99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1</v>
      </c>
      <c r="M87" s="6">
        <f t="shared" si="4"/>
        <v>1</v>
      </c>
      <c r="N87" s="6">
        <f t="shared" si="5"/>
        <v>1</v>
      </c>
      <c r="O87" s="3" t="s">
        <v>135</v>
      </c>
    </row>
    <row r="88" spans="1:15" x14ac:dyDescent="0.35">
      <c r="A88" s="5">
        <v>42</v>
      </c>
      <c r="B88" s="5">
        <v>46</v>
      </c>
      <c r="C88" s="5" t="s">
        <v>43</v>
      </c>
      <c r="D88" s="5" t="s">
        <v>41</v>
      </c>
      <c r="E88" s="5" t="s">
        <v>99</v>
      </c>
      <c r="F88" s="5">
        <v>1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6">
        <f t="shared" si="4"/>
        <v>1</v>
      </c>
      <c r="N88" s="6">
        <f t="shared" si="5"/>
        <v>1</v>
      </c>
      <c r="O88" s="3" t="s">
        <v>71</v>
      </c>
    </row>
    <row r="89" spans="1:15" ht="25" x14ac:dyDescent="0.35">
      <c r="A89" s="5">
        <v>42</v>
      </c>
      <c r="B89" s="5">
        <v>46</v>
      </c>
      <c r="C89" s="5" t="s">
        <v>47</v>
      </c>
      <c r="D89" s="5" t="s">
        <v>48</v>
      </c>
      <c r="E89" s="5" t="s">
        <v>99</v>
      </c>
      <c r="F89" s="5">
        <v>1</v>
      </c>
      <c r="G89" s="5">
        <v>3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6">
        <f t="shared" si="4"/>
        <v>4</v>
      </c>
      <c r="N89" s="6">
        <f t="shared" si="5"/>
        <v>2</v>
      </c>
      <c r="O89" s="3" t="s">
        <v>136</v>
      </c>
    </row>
    <row r="90" spans="1:15" ht="25" x14ac:dyDescent="0.35">
      <c r="A90" s="5">
        <v>42</v>
      </c>
      <c r="B90" s="5">
        <v>46</v>
      </c>
      <c r="C90" s="5" t="s">
        <v>66</v>
      </c>
      <c r="D90" s="5" t="s">
        <v>48</v>
      </c>
      <c r="E90" s="5" t="s">
        <v>99</v>
      </c>
      <c r="F90" s="5">
        <v>3</v>
      </c>
      <c r="G90" s="5">
        <v>4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6">
        <f t="shared" si="4"/>
        <v>7</v>
      </c>
      <c r="N90" s="6">
        <f t="shared" si="5"/>
        <v>2</v>
      </c>
      <c r="O90" s="3" t="s">
        <v>137</v>
      </c>
    </row>
    <row r="91" spans="1:15" ht="25" x14ac:dyDescent="0.35">
      <c r="A91" s="5">
        <v>42</v>
      </c>
      <c r="B91" s="5">
        <v>46</v>
      </c>
      <c r="C91" s="5" t="s">
        <v>50</v>
      </c>
      <c r="D91" s="5" t="s">
        <v>51</v>
      </c>
      <c r="E91" s="5" t="s">
        <v>99</v>
      </c>
      <c r="F91" s="5">
        <v>2</v>
      </c>
      <c r="G91" s="5">
        <v>4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6">
        <f t="shared" si="4"/>
        <v>6</v>
      </c>
      <c r="N91" s="6">
        <f t="shared" si="5"/>
        <v>2</v>
      </c>
      <c r="O91" s="3" t="s">
        <v>138</v>
      </c>
    </row>
    <row r="92" spans="1:15" x14ac:dyDescent="0.35">
      <c r="A92" s="5">
        <v>42</v>
      </c>
      <c r="B92" s="5">
        <v>46</v>
      </c>
      <c r="C92" s="5" t="s">
        <v>53</v>
      </c>
      <c r="D92" s="5" t="s">
        <v>51</v>
      </c>
      <c r="E92" s="5" t="s">
        <v>99</v>
      </c>
      <c r="F92" s="5">
        <v>0</v>
      </c>
      <c r="G92" s="5">
        <v>3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6">
        <f t="shared" si="4"/>
        <v>3</v>
      </c>
      <c r="N92" s="6">
        <f t="shared" si="5"/>
        <v>1</v>
      </c>
      <c r="O92" s="3" t="s">
        <v>139</v>
      </c>
    </row>
    <row r="93" spans="1:15" x14ac:dyDescent="0.35">
      <c r="A93" s="5">
        <v>43</v>
      </c>
      <c r="B93" s="5">
        <v>47</v>
      </c>
      <c r="C93" s="5" t="s">
        <v>36</v>
      </c>
      <c r="D93" s="5" t="s">
        <v>37</v>
      </c>
      <c r="E93" s="5" t="s">
        <v>99</v>
      </c>
      <c r="F93" s="5">
        <v>2</v>
      </c>
      <c r="G93" s="5">
        <v>1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6">
        <f t="shared" si="4"/>
        <v>3</v>
      </c>
      <c r="N93" s="6">
        <f t="shared" si="5"/>
        <v>2</v>
      </c>
      <c r="O93" s="3" t="s">
        <v>140</v>
      </c>
    </row>
    <row r="94" spans="1:15" x14ac:dyDescent="0.35">
      <c r="A94" s="5">
        <v>43</v>
      </c>
      <c r="B94" s="5">
        <v>47</v>
      </c>
      <c r="C94" s="5" t="s">
        <v>40</v>
      </c>
      <c r="D94" s="5" t="s">
        <v>41</v>
      </c>
      <c r="E94" s="5" t="s">
        <v>99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1</v>
      </c>
      <c r="M94" s="6">
        <f t="shared" si="4"/>
        <v>1</v>
      </c>
      <c r="N94" s="6">
        <f t="shared" si="5"/>
        <v>1</v>
      </c>
      <c r="O94" s="3" t="s">
        <v>101</v>
      </c>
    </row>
    <row r="95" spans="1:15" x14ac:dyDescent="0.35">
      <c r="A95" s="5">
        <v>43</v>
      </c>
      <c r="B95" s="5">
        <v>47</v>
      </c>
      <c r="C95" s="5" t="s">
        <v>43</v>
      </c>
      <c r="D95" s="5" t="s">
        <v>41</v>
      </c>
      <c r="E95" s="5" t="s">
        <v>99</v>
      </c>
      <c r="F95" s="5">
        <v>1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6">
        <f t="shared" si="4"/>
        <v>1</v>
      </c>
      <c r="N95" s="6">
        <f t="shared" si="5"/>
        <v>1</v>
      </c>
      <c r="O95" s="3" t="s">
        <v>141</v>
      </c>
    </row>
    <row r="96" spans="1:15" x14ac:dyDescent="0.35">
      <c r="A96" s="5">
        <v>43</v>
      </c>
      <c r="B96" s="5">
        <v>47</v>
      </c>
      <c r="C96" s="5" t="s">
        <v>47</v>
      </c>
      <c r="D96" s="5" t="s">
        <v>48</v>
      </c>
      <c r="E96" s="5" t="s">
        <v>99</v>
      </c>
      <c r="F96" s="5">
        <v>3</v>
      </c>
      <c r="G96" s="5">
        <v>3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6">
        <f t="shared" si="4"/>
        <v>6</v>
      </c>
      <c r="N96" s="6">
        <f t="shared" si="5"/>
        <v>2</v>
      </c>
      <c r="O96" s="3" t="s">
        <v>142</v>
      </c>
    </row>
    <row r="97" spans="1:15" x14ac:dyDescent="0.35">
      <c r="A97" s="5">
        <v>43</v>
      </c>
      <c r="B97" s="5">
        <v>47</v>
      </c>
      <c r="C97" s="5" t="s">
        <v>66</v>
      </c>
      <c r="D97" s="5" t="s">
        <v>48</v>
      </c>
      <c r="E97" s="5" t="s">
        <v>99</v>
      </c>
      <c r="F97" s="5">
        <v>2</v>
      </c>
      <c r="G97" s="5">
        <v>1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6">
        <f t="shared" si="4"/>
        <v>3</v>
      </c>
      <c r="N97" s="6">
        <f t="shared" si="5"/>
        <v>2</v>
      </c>
      <c r="O97" s="3" t="s">
        <v>143</v>
      </c>
    </row>
    <row r="98" spans="1:15" x14ac:dyDescent="0.35">
      <c r="A98" s="5">
        <v>43</v>
      </c>
      <c r="B98" s="5">
        <v>47</v>
      </c>
      <c r="C98" s="5" t="s">
        <v>50</v>
      </c>
      <c r="D98" s="5" t="s">
        <v>51</v>
      </c>
      <c r="E98" s="5" t="s">
        <v>99</v>
      </c>
      <c r="F98" s="5">
        <v>4</v>
      </c>
      <c r="G98" s="5">
        <v>2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6">
        <f t="shared" ref="M98:M129" si="6">SUM(F98:L98)</f>
        <v>6</v>
      </c>
      <c r="N98" s="6">
        <f t="shared" ref="N98:N127" si="7">COUNTIF(F98:L98,"&gt;0")</f>
        <v>2</v>
      </c>
      <c r="O98" s="3" t="s">
        <v>144</v>
      </c>
    </row>
    <row r="99" spans="1:15" x14ac:dyDescent="0.35">
      <c r="A99" s="5">
        <v>43</v>
      </c>
      <c r="B99" s="5">
        <v>47</v>
      </c>
      <c r="C99" s="5" t="s">
        <v>53</v>
      </c>
      <c r="D99" s="5" t="s">
        <v>51</v>
      </c>
      <c r="E99" s="5" t="s">
        <v>99</v>
      </c>
      <c r="F99" s="5">
        <v>4</v>
      </c>
      <c r="G99" s="5">
        <v>2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6">
        <f t="shared" si="6"/>
        <v>6</v>
      </c>
      <c r="N99" s="6">
        <f t="shared" si="7"/>
        <v>2</v>
      </c>
      <c r="O99" s="3" t="s">
        <v>145</v>
      </c>
    </row>
    <row r="100" spans="1:15" x14ac:dyDescent="0.35">
      <c r="A100" s="5">
        <v>44</v>
      </c>
      <c r="B100" s="5">
        <v>48</v>
      </c>
      <c r="C100" s="5" t="s">
        <v>36</v>
      </c>
      <c r="D100" s="5" t="s">
        <v>37</v>
      </c>
      <c r="E100" s="5" t="s">
        <v>99</v>
      </c>
      <c r="F100" s="5">
        <v>1</v>
      </c>
      <c r="G100" s="5">
        <v>2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6">
        <f t="shared" si="6"/>
        <v>3</v>
      </c>
      <c r="N100" s="6">
        <f t="shared" si="7"/>
        <v>2</v>
      </c>
      <c r="O100" s="3" t="s">
        <v>146</v>
      </c>
    </row>
    <row r="101" spans="1:15" x14ac:dyDescent="0.35">
      <c r="A101" s="5">
        <v>44</v>
      </c>
      <c r="B101" s="5">
        <v>48</v>
      </c>
      <c r="C101" s="5" t="s">
        <v>40</v>
      </c>
      <c r="D101" s="5" t="s">
        <v>41</v>
      </c>
      <c r="E101" s="5" t="s">
        <v>99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1</v>
      </c>
      <c r="M101" s="6">
        <f t="shared" si="6"/>
        <v>1</v>
      </c>
      <c r="N101" s="6">
        <f t="shared" si="7"/>
        <v>1</v>
      </c>
      <c r="O101" s="3" t="s">
        <v>147</v>
      </c>
    </row>
    <row r="102" spans="1:15" x14ac:dyDescent="0.35">
      <c r="A102" s="5">
        <v>44</v>
      </c>
      <c r="B102" s="5">
        <v>48</v>
      </c>
      <c r="C102" s="5" t="s">
        <v>43</v>
      </c>
      <c r="D102" s="5" t="s">
        <v>41</v>
      </c>
      <c r="E102" s="5" t="s">
        <v>99</v>
      </c>
      <c r="F102" s="5">
        <v>1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6">
        <f t="shared" si="6"/>
        <v>1</v>
      </c>
      <c r="N102" s="6">
        <f t="shared" si="7"/>
        <v>1</v>
      </c>
      <c r="O102" s="3" t="s">
        <v>129</v>
      </c>
    </row>
    <row r="103" spans="1:15" x14ac:dyDescent="0.35">
      <c r="A103" s="5">
        <v>44</v>
      </c>
      <c r="B103" s="5">
        <v>48</v>
      </c>
      <c r="C103" s="5" t="s">
        <v>47</v>
      </c>
      <c r="D103" s="5" t="s">
        <v>48</v>
      </c>
      <c r="E103" s="5" t="s">
        <v>99</v>
      </c>
      <c r="F103" s="5">
        <v>1</v>
      </c>
      <c r="G103" s="5">
        <v>1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6">
        <f t="shared" si="6"/>
        <v>2</v>
      </c>
      <c r="N103" s="6">
        <f t="shared" si="7"/>
        <v>2</v>
      </c>
      <c r="O103" s="3" t="s">
        <v>148</v>
      </c>
    </row>
    <row r="104" spans="1:15" x14ac:dyDescent="0.35">
      <c r="A104" s="5">
        <v>44</v>
      </c>
      <c r="B104" s="5">
        <v>48</v>
      </c>
      <c r="C104" s="5" t="s">
        <v>66</v>
      </c>
      <c r="D104" s="5" t="s">
        <v>48</v>
      </c>
      <c r="E104" s="5" t="s">
        <v>99</v>
      </c>
      <c r="F104" s="5">
        <v>1</v>
      </c>
      <c r="G104" s="5">
        <v>2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6">
        <f t="shared" si="6"/>
        <v>3</v>
      </c>
      <c r="N104" s="6">
        <f t="shared" si="7"/>
        <v>2</v>
      </c>
      <c r="O104" s="3" t="s">
        <v>149</v>
      </c>
    </row>
    <row r="105" spans="1:15" x14ac:dyDescent="0.35">
      <c r="A105" s="5">
        <v>44</v>
      </c>
      <c r="B105" s="5">
        <v>48</v>
      </c>
      <c r="C105" s="5" t="s">
        <v>50</v>
      </c>
      <c r="D105" s="5" t="s">
        <v>51</v>
      </c>
      <c r="E105" s="5" t="s">
        <v>99</v>
      </c>
      <c r="F105" s="5">
        <v>2</v>
      </c>
      <c r="G105" s="5">
        <v>2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6">
        <f t="shared" si="6"/>
        <v>4</v>
      </c>
      <c r="N105" s="6">
        <f t="shared" si="7"/>
        <v>2</v>
      </c>
      <c r="O105" s="3" t="s">
        <v>150</v>
      </c>
    </row>
    <row r="106" spans="1:15" x14ac:dyDescent="0.35">
      <c r="A106" s="5">
        <v>44</v>
      </c>
      <c r="B106" s="5">
        <v>48</v>
      </c>
      <c r="C106" s="5" t="s">
        <v>53</v>
      </c>
      <c r="D106" s="5" t="s">
        <v>51</v>
      </c>
      <c r="E106" s="5" t="s">
        <v>99</v>
      </c>
      <c r="F106" s="5">
        <v>1</v>
      </c>
      <c r="G106" s="5">
        <v>2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6">
        <f t="shared" si="6"/>
        <v>3</v>
      </c>
      <c r="N106" s="6">
        <f t="shared" si="7"/>
        <v>2</v>
      </c>
      <c r="O106" s="3" t="s">
        <v>151</v>
      </c>
    </row>
    <row r="107" spans="1:15" x14ac:dyDescent="0.35">
      <c r="A107" s="5">
        <v>45</v>
      </c>
      <c r="B107" s="5">
        <v>49</v>
      </c>
      <c r="C107" s="5" t="s">
        <v>36</v>
      </c>
      <c r="D107" s="5" t="s">
        <v>37</v>
      </c>
      <c r="E107" s="5" t="s">
        <v>38</v>
      </c>
      <c r="F107" s="5">
        <v>0</v>
      </c>
      <c r="G107" s="5">
        <v>1</v>
      </c>
      <c r="H107" s="5">
        <v>1</v>
      </c>
      <c r="I107" s="5">
        <v>0</v>
      </c>
      <c r="J107" s="5">
        <v>1</v>
      </c>
      <c r="K107" s="5">
        <v>0</v>
      </c>
      <c r="L107" s="5">
        <v>0</v>
      </c>
      <c r="M107" s="6">
        <f t="shared" si="6"/>
        <v>3</v>
      </c>
      <c r="N107" s="6">
        <f t="shared" si="7"/>
        <v>3</v>
      </c>
      <c r="O107" s="3" t="s">
        <v>152</v>
      </c>
    </row>
    <row r="108" spans="1:15" x14ac:dyDescent="0.35">
      <c r="A108" s="5">
        <v>45</v>
      </c>
      <c r="B108" s="5">
        <v>49</v>
      </c>
      <c r="C108" s="5" t="s">
        <v>40</v>
      </c>
      <c r="D108" s="5" t="s">
        <v>41</v>
      </c>
      <c r="E108" s="5" t="s">
        <v>38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1</v>
      </c>
      <c r="M108" s="6">
        <f t="shared" si="6"/>
        <v>1</v>
      </c>
      <c r="N108" s="6">
        <f t="shared" si="7"/>
        <v>1</v>
      </c>
      <c r="O108" s="3" t="s">
        <v>153</v>
      </c>
    </row>
    <row r="109" spans="1:15" x14ac:dyDescent="0.35">
      <c r="A109" s="5">
        <v>45</v>
      </c>
      <c r="B109" s="5">
        <v>49</v>
      </c>
      <c r="C109" s="5" t="s">
        <v>86</v>
      </c>
      <c r="D109" s="5" t="s">
        <v>41</v>
      </c>
      <c r="E109" s="5" t="s">
        <v>38</v>
      </c>
      <c r="F109" s="5">
        <v>0</v>
      </c>
      <c r="G109" s="5">
        <v>0</v>
      </c>
      <c r="H109" s="5">
        <v>0</v>
      </c>
      <c r="I109" s="5">
        <v>0</v>
      </c>
      <c r="J109" s="5">
        <v>1</v>
      </c>
      <c r="K109" s="5">
        <v>0</v>
      </c>
      <c r="L109" s="5">
        <v>0</v>
      </c>
      <c r="M109" s="6">
        <f t="shared" si="6"/>
        <v>1</v>
      </c>
      <c r="N109" s="6">
        <f t="shared" si="7"/>
        <v>1</v>
      </c>
      <c r="O109" s="3" t="s">
        <v>154</v>
      </c>
    </row>
    <row r="110" spans="1:15" ht="25" x14ac:dyDescent="0.35">
      <c r="A110" s="5">
        <v>45</v>
      </c>
      <c r="B110" s="5">
        <v>49</v>
      </c>
      <c r="C110" s="5" t="s">
        <v>47</v>
      </c>
      <c r="D110" s="5" t="s">
        <v>48</v>
      </c>
      <c r="E110" s="5" t="s">
        <v>38</v>
      </c>
      <c r="F110" s="5">
        <v>0</v>
      </c>
      <c r="G110" s="5">
        <v>0</v>
      </c>
      <c r="H110" s="5">
        <v>2</v>
      </c>
      <c r="I110" s="5">
        <v>0</v>
      </c>
      <c r="J110" s="5">
        <v>1</v>
      </c>
      <c r="K110" s="5">
        <v>0</v>
      </c>
      <c r="L110" s="5">
        <v>0</v>
      </c>
      <c r="M110" s="6">
        <f t="shared" si="6"/>
        <v>3</v>
      </c>
      <c r="N110" s="6">
        <f t="shared" si="7"/>
        <v>2</v>
      </c>
      <c r="O110" s="3" t="s">
        <v>155</v>
      </c>
    </row>
    <row r="111" spans="1:15" x14ac:dyDescent="0.35">
      <c r="A111" s="5">
        <v>45</v>
      </c>
      <c r="B111" s="5">
        <v>49</v>
      </c>
      <c r="C111" s="5" t="s">
        <v>66</v>
      </c>
      <c r="D111" s="5" t="s">
        <v>48</v>
      </c>
      <c r="E111" s="5" t="s">
        <v>38</v>
      </c>
      <c r="F111" s="5">
        <v>0</v>
      </c>
      <c r="G111" s="5">
        <v>0</v>
      </c>
      <c r="H111" s="5">
        <v>1</v>
      </c>
      <c r="I111" s="5">
        <v>0</v>
      </c>
      <c r="J111" s="5">
        <v>0</v>
      </c>
      <c r="K111" s="5">
        <v>0</v>
      </c>
      <c r="L111" s="5">
        <v>0</v>
      </c>
      <c r="M111" s="6">
        <f t="shared" si="6"/>
        <v>1</v>
      </c>
      <c r="N111" s="6">
        <f t="shared" si="7"/>
        <v>1</v>
      </c>
      <c r="O111" s="3" t="s">
        <v>156</v>
      </c>
    </row>
    <row r="112" spans="1:15" x14ac:dyDescent="0.35">
      <c r="A112" s="5">
        <v>45</v>
      </c>
      <c r="B112" s="5">
        <v>49</v>
      </c>
      <c r="C112" s="5" t="s">
        <v>50</v>
      </c>
      <c r="D112" s="5" t="s">
        <v>51</v>
      </c>
      <c r="E112" s="5" t="s">
        <v>38</v>
      </c>
      <c r="F112" s="5">
        <v>0</v>
      </c>
      <c r="G112" s="5">
        <v>0</v>
      </c>
      <c r="H112" s="5">
        <v>2</v>
      </c>
      <c r="I112" s="5">
        <v>0</v>
      </c>
      <c r="J112" s="5">
        <v>1</v>
      </c>
      <c r="K112" s="5">
        <v>0</v>
      </c>
      <c r="L112" s="5">
        <v>0</v>
      </c>
      <c r="M112" s="6">
        <f t="shared" si="6"/>
        <v>3</v>
      </c>
      <c r="N112" s="6">
        <f t="shared" si="7"/>
        <v>2</v>
      </c>
      <c r="O112" s="3" t="s">
        <v>157</v>
      </c>
    </row>
    <row r="113" spans="1:15" x14ac:dyDescent="0.35">
      <c r="A113" s="5">
        <v>45</v>
      </c>
      <c r="B113" s="5">
        <v>49</v>
      </c>
      <c r="C113" s="5" t="s">
        <v>53</v>
      </c>
      <c r="D113" s="5" t="s">
        <v>51</v>
      </c>
      <c r="E113" s="5" t="s">
        <v>38</v>
      </c>
      <c r="F113" s="5">
        <v>0</v>
      </c>
      <c r="G113" s="5">
        <v>1</v>
      </c>
      <c r="H113" s="5">
        <v>0</v>
      </c>
      <c r="I113" s="5">
        <v>0</v>
      </c>
      <c r="J113" s="5">
        <v>1</v>
      </c>
      <c r="K113" s="5">
        <v>0</v>
      </c>
      <c r="L113" s="5">
        <v>0</v>
      </c>
      <c r="M113" s="6">
        <f t="shared" si="6"/>
        <v>2</v>
      </c>
      <c r="N113" s="6">
        <f t="shared" si="7"/>
        <v>2</v>
      </c>
      <c r="O113" s="3" t="s">
        <v>158</v>
      </c>
    </row>
    <row r="114" spans="1:15" x14ac:dyDescent="0.35">
      <c r="A114" s="5">
        <v>46</v>
      </c>
      <c r="B114" s="5">
        <v>50</v>
      </c>
      <c r="C114" s="5" t="s">
        <v>36</v>
      </c>
      <c r="D114" s="5" t="s">
        <v>37</v>
      </c>
      <c r="E114" s="5" t="s">
        <v>38</v>
      </c>
      <c r="F114" s="5">
        <v>0</v>
      </c>
      <c r="G114" s="5">
        <v>1</v>
      </c>
      <c r="H114" s="5">
        <v>0</v>
      </c>
      <c r="I114" s="5">
        <v>0</v>
      </c>
      <c r="J114" s="5">
        <v>1</v>
      </c>
      <c r="K114" s="5">
        <v>0</v>
      </c>
      <c r="L114" s="5">
        <v>1</v>
      </c>
      <c r="M114" s="6">
        <f t="shared" si="6"/>
        <v>3</v>
      </c>
      <c r="N114" s="6">
        <f t="shared" si="7"/>
        <v>3</v>
      </c>
      <c r="O114" s="3" t="s">
        <v>159</v>
      </c>
    </row>
    <row r="115" spans="1:15" x14ac:dyDescent="0.35">
      <c r="A115" s="5">
        <v>46</v>
      </c>
      <c r="B115" s="5">
        <v>50</v>
      </c>
      <c r="C115" s="5" t="s">
        <v>40</v>
      </c>
      <c r="D115" s="5" t="s">
        <v>41</v>
      </c>
      <c r="E115" s="5" t="s">
        <v>38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1</v>
      </c>
      <c r="M115" s="6">
        <f t="shared" si="6"/>
        <v>1</v>
      </c>
      <c r="N115" s="6">
        <f t="shared" si="7"/>
        <v>1</v>
      </c>
      <c r="O115" s="3" t="s">
        <v>160</v>
      </c>
    </row>
    <row r="116" spans="1:15" x14ac:dyDescent="0.35">
      <c r="A116" s="5">
        <v>46</v>
      </c>
      <c r="B116" s="5">
        <v>50</v>
      </c>
      <c r="C116" s="5" t="s">
        <v>86</v>
      </c>
      <c r="D116" s="5" t="s">
        <v>41</v>
      </c>
      <c r="E116" s="5" t="s">
        <v>38</v>
      </c>
      <c r="F116" s="5">
        <v>0</v>
      </c>
      <c r="G116" s="5">
        <v>0</v>
      </c>
      <c r="H116" s="5">
        <v>0</v>
      </c>
      <c r="I116" s="5">
        <v>0</v>
      </c>
      <c r="J116" s="5">
        <v>1</v>
      </c>
      <c r="K116" s="5">
        <v>0</v>
      </c>
      <c r="L116" s="5">
        <v>0</v>
      </c>
      <c r="M116" s="6">
        <f t="shared" si="6"/>
        <v>1</v>
      </c>
      <c r="N116" s="6">
        <f t="shared" si="7"/>
        <v>1</v>
      </c>
      <c r="O116" s="3" t="s">
        <v>161</v>
      </c>
    </row>
    <row r="117" spans="1:15" x14ac:dyDescent="0.35">
      <c r="A117" s="5">
        <v>46</v>
      </c>
      <c r="B117" s="5">
        <v>50</v>
      </c>
      <c r="C117" s="5" t="s">
        <v>47</v>
      </c>
      <c r="D117" s="5" t="s">
        <v>48</v>
      </c>
      <c r="E117" s="5" t="s">
        <v>38</v>
      </c>
      <c r="F117" s="5">
        <v>0</v>
      </c>
      <c r="G117" s="5">
        <v>0</v>
      </c>
      <c r="H117" s="5">
        <v>2</v>
      </c>
      <c r="I117" s="5">
        <v>0</v>
      </c>
      <c r="J117" s="5">
        <v>1</v>
      </c>
      <c r="K117" s="5">
        <v>0</v>
      </c>
      <c r="L117" s="5">
        <v>0</v>
      </c>
      <c r="M117" s="6">
        <f t="shared" si="6"/>
        <v>3</v>
      </c>
      <c r="N117" s="6">
        <f t="shared" si="7"/>
        <v>2</v>
      </c>
      <c r="O117" s="3" t="s">
        <v>162</v>
      </c>
    </row>
    <row r="118" spans="1:15" x14ac:dyDescent="0.35">
      <c r="A118" s="5">
        <v>46</v>
      </c>
      <c r="B118" s="5">
        <v>50</v>
      </c>
      <c r="C118" s="5" t="s">
        <v>66</v>
      </c>
      <c r="D118" s="5" t="s">
        <v>48</v>
      </c>
      <c r="E118" s="5" t="s">
        <v>38</v>
      </c>
      <c r="F118" s="5">
        <v>0</v>
      </c>
      <c r="G118" s="5">
        <v>0</v>
      </c>
      <c r="H118" s="5">
        <v>1</v>
      </c>
      <c r="I118" s="5">
        <v>0</v>
      </c>
      <c r="J118" s="5">
        <v>0</v>
      </c>
      <c r="K118" s="5">
        <v>0</v>
      </c>
      <c r="L118" s="5">
        <v>1</v>
      </c>
      <c r="M118" s="6">
        <f t="shared" si="6"/>
        <v>2</v>
      </c>
      <c r="N118" s="6">
        <f t="shared" si="7"/>
        <v>2</v>
      </c>
      <c r="O118" s="3" t="s">
        <v>163</v>
      </c>
    </row>
    <row r="119" spans="1:15" x14ac:dyDescent="0.35">
      <c r="A119" s="5">
        <v>46</v>
      </c>
      <c r="B119" s="5">
        <v>50</v>
      </c>
      <c r="C119" s="5" t="s">
        <v>50</v>
      </c>
      <c r="D119" s="5" t="s">
        <v>51</v>
      </c>
      <c r="E119" s="5" t="s">
        <v>38</v>
      </c>
      <c r="F119" s="5">
        <v>0</v>
      </c>
      <c r="G119" s="5">
        <v>0</v>
      </c>
      <c r="H119" s="5">
        <v>1</v>
      </c>
      <c r="I119" s="5">
        <v>0</v>
      </c>
      <c r="J119" s="5">
        <v>1</v>
      </c>
      <c r="K119" s="5">
        <v>0</v>
      </c>
      <c r="L119" s="5">
        <v>0</v>
      </c>
      <c r="M119" s="6">
        <f t="shared" si="6"/>
        <v>2</v>
      </c>
      <c r="N119" s="6">
        <f t="shared" si="7"/>
        <v>2</v>
      </c>
      <c r="O119" s="3" t="s">
        <v>164</v>
      </c>
    </row>
    <row r="120" spans="1:15" x14ac:dyDescent="0.35">
      <c r="A120" s="5">
        <v>46</v>
      </c>
      <c r="B120" s="5">
        <v>50</v>
      </c>
      <c r="C120" s="5" t="s">
        <v>53</v>
      </c>
      <c r="D120" s="5" t="s">
        <v>51</v>
      </c>
      <c r="E120" s="5" t="s">
        <v>38</v>
      </c>
      <c r="F120" s="5">
        <v>0</v>
      </c>
      <c r="G120" s="5">
        <v>1</v>
      </c>
      <c r="H120" s="5">
        <v>0</v>
      </c>
      <c r="I120" s="5">
        <v>0</v>
      </c>
      <c r="J120" s="5">
        <v>1</v>
      </c>
      <c r="K120" s="5">
        <v>0</v>
      </c>
      <c r="L120" s="5">
        <v>1</v>
      </c>
      <c r="M120" s="6">
        <f t="shared" si="6"/>
        <v>3</v>
      </c>
      <c r="N120" s="6">
        <f t="shared" si="7"/>
        <v>3</v>
      </c>
      <c r="O120" s="3" t="s">
        <v>165</v>
      </c>
    </row>
    <row r="121" spans="1:15" x14ac:dyDescent="0.35">
      <c r="A121" s="5">
        <v>47</v>
      </c>
      <c r="B121" s="5">
        <v>51</v>
      </c>
      <c r="C121" s="5" t="s">
        <v>36</v>
      </c>
      <c r="D121" s="5" t="s">
        <v>37</v>
      </c>
      <c r="E121" s="5" t="s">
        <v>38</v>
      </c>
      <c r="F121" s="5">
        <v>0</v>
      </c>
      <c r="G121" s="5">
        <v>1</v>
      </c>
      <c r="H121" s="5">
        <v>1</v>
      </c>
      <c r="I121" s="5">
        <v>0</v>
      </c>
      <c r="J121" s="5">
        <v>1</v>
      </c>
      <c r="K121" s="5">
        <v>0</v>
      </c>
      <c r="L121" s="5">
        <v>0</v>
      </c>
      <c r="M121" s="6">
        <f t="shared" si="6"/>
        <v>3</v>
      </c>
      <c r="N121" s="6">
        <f t="shared" si="7"/>
        <v>3</v>
      </c>
      <c r="O121" s="3" t="s">
        <v>166</v>
      </c>
    </row>
    <row r="122" spans="1:15" x14ac:dyDescent="0.35">
      <c r="A122" s="5">
        <v>47</v>
      </c>
      <c r="B122" s="5">
        <v>51</v>
      </c>
      <c r="C122" s="5" t="s">
        <v>43</v>
      </c>
      <c r="D122" s="5" t="s">
        <v>41</v>
      </c>
      <c r="E122" s="5" t="s">
        <v>38</v>
      </c>
      <c r="F122" s="5">
        <v>0</v>
      </c>
      <c r="G122" s="5">
        <v>0</v>
      </c>
      <c r="H122" s="5">
        <v>0</v>
      </c>
      <c r="I122" s="5">
        <v>0</v>
      </c>
      <c r="J122" s="5">
        <v>1</v>
      </c>
      <c r="K122" s="5">
        <v>0</v>
      </c>
      <c r="L122" s="5">
        <v>0</v>
      </c>
      <c r="M122" s="6">
        <f t="shared" si="6"/>
        <v>1</v>
      </c>
      <c r="N122" s="6">
        <f t="shared" si="7"/>
        <v>1</v>
      </c>
      <c r="O122" s="3" t="s">
        <v>167</v>
      </c>
    </row>
    <row r="123" spans="1:15" x14ac:dyDescent="0.35">
      <c r="A123" s="5">
        <v>47</v>
      </c>
      <c r="B123" s="5">
        <v>51</v>
      </c>
      <c r="C123" s="5" t="s">
        <v>86</v>
      </c>
      <c r="D123" s="5" t="s">
        <v>41</v>
      </c>
      <c r="E123" s="5" t="s">
        <v>38</v>
      </c>
      <c r="F123" s="5">
        <v>0</v>
      </c>
      <c r="G123" s="5">
        <v>0</v>
      </c>
      <c r="H123" s="5">
        <v>0</v>
      </c>
      <c r="I123" s="5">
        <v>0</v>
      </c>
      <c r="J123" s="5">
        <v>1</v>
      </c>
      <c r="K123" s="5">
        <v>0</v>
      </c>
      <c r="L123" s="5">
        <v>0</v>
      </c>
      <c r="M123" s="6">
        <f t="shared" si="6"/>
        <v>1</v>
      </c>
      <c r="N123" s="6">
        <f t="shared" si="7"/>
        <v>1</v>
      </c>
      <c r="O123" s="3" t="s">
        <v>168</v>
      </c>
    </row>
    <row r="124" spans="1:15" x14ac:dyDescent="0.35">
      <c r="A124" s="5">
        <v>47</v>
      </c>
      <c r="B124" s="5">
        <v>51</v>
      </c>
      <c r="C124" s="5" t="s">
        <v>47</v>
      </c>
      <c r="D124" s="5" t="s">
        <v>48</v>
      </c>
      <c r="E124" s="5" t="s">
        <v>38</v>
      </c>
      <c r="F124" s="5">
        <v>0</v>
      </c>
      <c r="G124" s="5">
        <v>0</v>
      </c>
      <c r="H124" s="5">
        <v>2</v>
      </c>
      <c r="I124" s="5">
        <v>0</v>
      </c>
      <c r="J124" s="5">
        <v>1</v>
      </c>
      <c r="K124" s="5">
        <v>0</v>
      </c>
      <c r="L124" s="5">
        <v>0</v>
      </c>
      <c r="M124" s="6">
        <f t="shared" si="6"/>
        <v>3</v>
      </c>
      <c r="N124" s="6">
        <f t="shared" si="7"/>
        <v>2</v>
      </c>
      <c r="O124" s="3" t="s">
        <v>169</v>
      </c>
    </row>
    <row r="125" spans="1:15" x14ac:dyDescent="0.35">
      <c r="A125" s="5">
        <v>47</v>
      </c>
      <c r="B125" s="5">
        <v>51</v>
      </c>
      <c r="C125" s="5" t="s">
        <v>66</v>
      </c>
      <c r="D125" s="5" t="s">
        <v>48</v>
      </c>
      <c r="E125" s="5" t="s">
        <v>38</v>
      </c>
      <c r="F125" s="5">
        <v>0</v>
      </c>
      <c r="G125" s="5">
        <v>0</v>
      </c>
      <c r="H125" s="5">
        <v>2</v>
      </c>
      <c r="I125" s="5">
        <v>0</v>
      </c>
      <c r="J125" s="5">
        <v>0</v>
      </c>
      <c r="K125" s="5">
        <v>0</v>
      </c>
      <c r="L125" s="5">
        <v>0</v>
      </c>
      <c r="M125" s="6">
        <f t="shared" si="6"/>
        <v>2</v>
      </c>
      <c r="N125" s="6">
        <f t="shared" si="7"/>
        <v>1</v>
      </c>
      <c r="O125" s="3" t="s">
        <v>170</v>
      </c>
    </row>
    <row r="126" spans="1:15" x14ac:dyDescent="0.35">
      <c r="A126" s="5">
        <v>47</v>
      </c>
      <c r="B126" s="5">
        <v>51</v>
      </c>
      <c r="C126" s="5" t="s">
        <v>50</v>
      </c>
      <c r="D126" s="5" t="s">
        <v>51</v>
      </c>
      <c r="E126" s="5" t="s">
        <v>38</v>
      </c>
      <c r="F126" s="5">
        <v>0</v>
      </c>
      <c r="G126" s="5">
        <v>0</v>
      </c>
      <c r="H126" s="5">
        <v>1</v>
      </c>
      <c r="I126" s="5">
        <v>0</v>
      </c>
      <c r="J126" s="5">
        <v>1</v>
      </c>
      <c r="K126" s="5">
        <v>0</v>
      </c>
      <c r="L126" s="5">
        <v>1</v>
      </c>
      <c r="M126" s="6">
        <f t="shared" si="6"/>
        <v>3</v>
      </c>
      <c r="N126" s="6">
        <f t="shared" si="7"/>
        <v>3</v>
      </c>
      <c r="O126" s="3" t="s">
        <v>171</v>
      </c>
    </row>
    <row r="127" spans="1:15" x14ac:dyDescent="0.35">
      <c r="A127" s="5">
        <v>47</v>
      </c>
      <c r="B127" s="5">
        <v>51</v>
      </c>
      <c r="C127" s="5" t="s">
        <v>53</v>
      </c>
      <c r="D127" s="5" t="s">
        <v>51</v>
      </c>
      <c r="E127" s="5" t="s">
        <v>38</v>
      </c>
      <c r="F127" s="5">
        <v>0</v>
      </c>
      <c r="G127" s="5">
        <v>1</v>
      </c>
      <c r="H127" s="5">
        <v>1</v>
      </c>
      <c r="I127" s="5">
        <v>0</v>
      </c>
      <c r="J127" s="5">
        <v>1</v>
      </c>
      <c r="K127" s="5">
        <v>0</v>
      </c>
      <c r="L127" s="5">
        <v>0</v>
      </c>
      <c r="M127" s="6">
        <f t="shared" si="6"/>
        <v>3</v>
      </c>
      <c r="N127" s="6">
        <f t="shared" si="7"/>
        <v>3</v>
      </c>
      <c r="O127" s="3" t="s">
        <v>172</v>
      </c>
    </row>
  </sheetData>
  <autoFilter ref="A1:O12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7"/>
  <sheetViews>
    <sheetView zoomScaleNormal="100" workbookViewId="0">
      <pane xSplit="4" ySplit="1" topLeftCell="J2" activePane="bottomRight" state="frozen"/>
      <selection pane="topRight" activeCell="E1" sqref="E1"/>
      <selection pane="bottomLeft" activeCell="A2" sqref="A2"/>
      <selection pane="bottomRight"/>
    </sheetView>
  </sheetViews>
  <sheetFormatPr defaultColWidth="8.6328125" defaultRowHeight="14.5" x14ac:dyDescent="0.35"/>
  <cols>
    <col min="1" max="20" width="11" customWidth="1"/>
  </cols>
  <sheetData>
    <row r="1" spans="1:20" ht="30" customHeight="1" x14ac:dyDescent="0.35">
      <c r="A1" s="4" t="s">
        <v>27</v>
      </c>
      <c r="B1" s="4" t="s">
        <v>28</v>
      </c>
      <c r="C1" s="4" t="s">
        <v>13</v>
      </c>
      <c r="D1" s="4" t="s">
        <v>15</v>
      </c>
      <c r="E1" s="4" t="s">
        <v>173</v>
      </c>
      <c r="F1" s="4" t="s">
        <v>174</v>
      </c>
      <c r="G1" s="4" t="s">
        <v>175</v>
      </c>
      <c r="H1" s="4" t="s">
        <v>176</v>
      </c>
      <c r="I1" s="4" t="s">
        <v>177</v>
      </c>
      <c r="J1" s="4" t="s">
        <v>178</v>
      </c>
      <c r="K1" s="4" t="s">
        <v>179</v>
      </c>
      <c r="L1" s="4" t="s">
        <v>180</v>
      </c>
      <c r="M1" s="4" t="s">
        <v>181</v>
      </c>
      <c r="N1" s="4" t="s">
        <v>182</v>
      </c>
      <c r="O1" s="4" t="s">
        <v>183</v>
      </c>
      <c r="P1" s="4" t="s">
        <v>184</v>
      </c>
      <c r="Q1" s="4" t="s">
        <v>185</v>
      </c>
      <c r="R1" s="4" t="s">
        <v>186</v>
      </c>
      <c r="S1" s="4" t="s">
        <v>187</v>
      </c>
      <c r="T1" s="4" t="s">
        <v>188</v>
      </c>
    </row>
    <row r="2" spans="1:20" x14ac:dyDescent="0.35">
      <c r="A2" s="5">
        <v>4</v>
      </c>
      <c r="B2" s="5">
        <v>34</v>
      </c>
      <c r="C2" s="5" t="s">
        <v>36</v>
      </c>
      <c r="D2" s="5" t="s">
        <v>37</v>
      </c>
      <c r="E2" s="5">
        <v>0</v>
      </c>
      <c r="F2" s="5">
        <v>1</v>
      </c>
      <c r="G2" s="5">
        <v>1</v>
      </c>
      <c r="H2" s="5">
        <v>0</v>
      </c>
      <c r="I2" s="5">
        <v>0</v>
      </c>
      <c r="J2" s="5">
        <v>0</v>
      </c>
      <c r="K2" s="5">
        <v>0</v>
      </c>
      <c r="L2" s="6">
        <f t="shared" ref="L2:L33" si="0">SUM(E2:K2)</f>
        <v>2</v>
      </c>
      <c r="M2" s="5">
        <v>1</v>
      </c>
      <c r="N2" s="5">
        <v>0</v>
      </c>
      <c r="O2" s="5">
        <v>1</v>
      </c>
      <c r="P2" s="5">
        <v>0</v>
      </c>
      <c r="Q2" s="5">
        <v>0</v>
      </c>
      <c r="R2" s="5">
        <v>0</v>
      </c>
      <c r="S2" s="5">
        <v>0</v>
      </c>
      <c r="T2" s="6">
        <f t="shared" ref="T2:T33" si="1">SUM(M2:S2)</f>
        <v>2</v>
      </c>
    </row>
    <row r="3" spans="1:20" x14ac:dyDescent="0.35">
      <c r="A3" s="5">
        <v>4</v>
      </c>
      <c r="B3" s="5">
        <v>34</v>
      </c>
      <c r="C3" s="5" t="s">
        <v>40</v>
      </c>
      <c r="D3" s="5" t="s">
        <v>41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1</v>
      </c>
      <c r="L3" s="6">
        <f t="shared" si="0"/>
        <v>1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6">
        <f t="shared" si="1"/>
        <v>2</v>
      </c>
    </row>
    <row r="4" spans="1:20" x14ac:dyDescent="0.35">
      <c r="A4" s="5">
        <v>4</v>
      </c>
      <c r="B4" s="5">
        <v>34</v>
      </c>
      <c r="C4" s="5" t="s">
        <v>43</v>
      </c>
      <c r="D4" s="5" t="s">
        <v>41</v>
      </c>
      <c r="E4" s="5">
        <v>1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6">
        <f t="shared" si="0"/>
        <v>1</v>
      </c>
      <c r="M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6">
        <f t="shared" si="1"/>
        <v>1</v>
      </c>
    </row>
    <row r="5" spans="1:20" x14ac:dyDescent="0.35">
      <c r="A5" s="5">
        <v>4</v>
      </c>
      <c r="B5" s="5">
        <v>34</v>
      </c>
      <c r="C5" s="5" t="s">
        <v>45</v>
      </c>
      <c r="D5" s="5" t="s">
        <v>41</v>
      </c>
      <c r="E5" s="5">
        <v>0</v>
      </c>
      <c r="F5" s="5">
        <v>0</v>
      </c>
      <c r="G5" s="5">
        <v>0</v>
      </c>
      <c r="H5" s="5">
        <v>1</v>
      </c>
      <c r="I5" s="5">
        <v>0</v>
      </c>
      <c r="J5" s="5">
        <v>0</v>
      </c>
      <c r="K5" s="5">
        <v>0</v>
      </c>
      <c r="L5" s="6">
        <f t="shared" si="0"/>
        <v>1</v>
      </c>
      <c r="M5" s="5">
        <v>0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0</v>
      </c>
      <c r="T5" s="6">
        <f t="shared" si="1"/>
        <v>1</v>
      </c>
    </row>
    <row r="6" spans="1:20" x14ac:dyDescent="0.35">
      <c r="A6" s="5">
        <v>4</v>
      </c>
      <c r="B6" s="5">
        <v>34</v>
      </c>
      <c r="C6" s="5" t="s">
        <v>47</v>
      </c>
      <c r="D6" s="5" t="s">
        <v>48</v>
      </c>
      <c r="E6" s="5">
        <v>0</v>
      </c>
      <c r="F6" s="5">
        <v>0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6">
        <f t="shared" si="0"/>
        <v>1</v>
      </c>
      <c r="M6" s="5">
        <v>1</v>
      </c>
      <c r="N6" s="5">
        <v>0</v>
      </c>
      <c r="O6" s="5">
        <v>1</v>
      </c>
      <c r="P6" s="5">
        <v>0</v>
      </c>
      <c r="Q6" s="5">
        <v>0</v>
      </c>
      <c r="R6" s="5">
        <v>0</v>
      </c>
      <c r="S6" s="5">
        <v>0</v>
      </c>
      <c r="T6" s="6">
        <f t="shared" si="1"/>
        <v>2</v>
      </c>
    </row>
    <row r="7" spans="1:20" x14ac:dyDescent="0.35">
      <c r="A7" s="5">
        <v>4</v>
      </c>
      <c r="B7" s="5">
        <v>34</v>
      </c>
      <c r="C7" s="5" t="s">
        <v>50</v>
      </c>
      <c r="D7" s="5" t="s">
        <v>51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6">
        <f t="shared" si="0"/>
        <v>1</v>
      </c>
      <c r="M7" s="5">
        <v>1</v>
      </c>
      <c r="N7" s="5">
        <v>0</v>
      </c>
      <c r="O7" s="5">
        <v>1</v>
      </c>
      <c r="P7" s="5">
        <v>0</v>
      </c>
      <c r="Q7" s="5">
        <v>0</v>
      </c>
      <c r="R7" s="5">
        <v>0</v>
      </c>
      <c r="S7" s="5">
        <v>0</v>
      </c>
      <c r="T7" s="6">
        <f t="shared" si="1"/>
        <v>2</v>
      </c>
    </row>
    <row r="8" spans="1:20" x14ac:dyDescent="0.35">
      <c r="A8" s="5">
        <v>4</v>
      </c>
      <c r="B8" s="5">
        <v>34</v>
      </c>
      <c r="C8" s="5" t="s">
        <v>53</v>
      </c>
      <c r="D8" s="5" t="s">
        <v>51</v>
      </c>
      <c r="E8" s="5">
        <v>0</v>
      </c>
      <c r="F8" s="5">
        <v>1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6">
        <f t="shared" si="0"/>
        <v>2</v>
      </c>
      <c r="M8" s="5">
        <v>1</v>
      </c>
      <c r="N8" s="5">
        <v>1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6">
        <f t="shared" si="1"/>
        <v>3</v>
      </c>
    </row>
    <row r="9" spans="1:20" x14ac:dyDescent="0.35">
      <c r="A9" s="5">
        <v>13</v>
      </c>
      <c r="B9" s="5">
        <v>35</v>
      </c>
      <c r="C9" s="5" t="s">
        <v>36</v>
      </c>
      <c r="D9" s="5" t="s">
        <v>37</v>
      </c>
      <c r="E9" s="5">
        <v>0</v>
      </c>
      <c r="F9" s="5">
        <v>2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6">
        <f t="shared" si="0"/>
        <v>3</v>
      </c>
      <c r="M9" s="5">
        <v>2</v>
      </c>
      <c r="N9" s="5">
        <v>3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6">
        <f t="shared" si="1"/>
        <v>6</v>
      </c>
    </row>
    <row r="10" spans="1:20" x14ac:dyDescent="0.35">
      <c r="A10" s="5">
        <v>13</v>
      </c>
      <c r="B10" s="5">
        <v>35</v>
      </c>
      <c r="C10" s="5" t="s">
        <v>40</v>
      </c>
      <c r="D10" s="5" t="s">
        <v>41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1</v>
      </c>
      <c r="L10" s="6">
        <f t="shared" si="0"/>
        <v>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6">
        <f t="shared" si="1"/>
        <v>2</v>
      </c>
    </row>
    <row r="11" spans="1:20" x14ac:dyDescent="0.35">
      <c r="A11" s="5">
        <v>13</v>
      </c>
      <c r="B11" s="5">
        <v>35</v>
      </c>
      <c r="C11" s="5" t="s">
        <v>43</v>
      </c>
      <c r="D11" s="5" t="s">
        <v>41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6">
        <f t="shared" si="0"/>
        <v>1</v>
      </c>
      <c r="M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6">
        <f t="shared" si="1"/>
        <v>1</v>
      </c>
    </row>
    <row r="12" spans="1:20" x14ac:dyDescent="0.35">
      <c r="A12" s="5">
        <v>13</v>
      </c>
      <c r="B12" s="5">
        <v>35</v>
      </c>
      <c r="C12" s="5" t="s">
        <v>47</v>
      </c>
      <c r="D12" s="5" t="s">
        <v>48</v>
      </c>
      <c r="E12" s="5">
        <v>0</v>
      </c>
      <c r="F12" s="5">
        <v>0</v>
      </c>
      <c r="G12" s="5">
        <v>1</v>
      </c>
      <c r="H12" s="5">
        <v>0</v>
      </c>
      <c r="I12" s="5">
        <v>0</v>
      </c>
      <c r="J12" s="5">
        <v>0</v>
      </c>
      <c r="K12" s="5">
        <v>1</v>
      </c>
      <c r="L12" s="6">
        <f t="shared" si="0"/>
        <v>2</v>
      </c>
      <c r="M12" s="5">
        <v>1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1</v>
      </c>
      <c r="T12" s="6">
        <f t="shared" si="1"/>
        <v>3</v>
      </c>
    </row>
    <row r="13" spans="1:20" x14ac:dyDescent="0.35">
      <c r="A13" s="5">
        <v>13</v>
      </c>
      <c r="B13" s="5">
        <v>35</v>
      </c>
      <c r="C13" s="5" t="s">
        <v>59</v>
      </c>
      <c r="D13" s="5" t="s">
        <v>48</v>
      </c>
      <c r="E13" s="5">
        <v>0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6">
        <f t="shared" si="0"/>
        <v>1</v>
      </c>
      <c r="M13" s="5">
        <v>1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6">
        <f t="shared" si="1"/>
        <v>2</v>
      </c>
    </row>
    <row r="14" spans="1:20" x14ac:dyDescent="0.35">
      <c r="A14" s="5">
        <v>13</v>
      </c>
      <c r="B14" s="5">
        <v>35</v>
      </c>
      <c r="C14" s="5" t="s">
        <v>50</v>
      </c>
      <c r="D14" s="5" t="s">
        <v>51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0</v>
      </c>
      <c r="K14" s="5">
        <v>1</v>
      </c>
      <c r="L14" s="6">
        <f t="shared" si="0"/>
        <v>2</v>
      </c>
      <c r="M14" s="5">
        <v>1</v>
      </c>
      <c r="N14" s="5">
        <v>0</v>
      </c>
      <c r="O14" s="5">
        <v>1</v>
      </c>
      <c r="P14" s="5">
        <v>0</v>
      </c>
      <c r="Q14" s="5">
        <v>0</v>
      </c>
      <c r="R14" s="5">
        <v>0</v>
      </c>
      <c r="S14" s="5">
        <v>1</v>
      </c>
      <c r="T14" s="6">
        <f t="shared" si="1"/>
        <v>3</v>
      </c>
    </row>
    <row r="15" spans="1:20" x14ac:dyDescent="0.35">
      <c r="A15" s="5">
        <v>13</v>
      </c>
      <c r="B15" s="5">
        <v>35</v>
      </c>
      <c r="C15" s="5" t="s">
        <v>53</v>
      </c>
      <c r="D15" s="5" t="s">
        <v>51</v>
      </c>
      <c r="E15" s="5">
        <v>0</v>
      </c>
      <c r="F15" s="5">
        <v>1</v>
      </c>
      <c r="G15" s="5">
        <v>1</v>
      </c>
      <c r="H15" s="5">
        <v>0</v>
      </c>
      <c r="I15" s="5">
        <v>0</v>
      </c>
      <c r="J15" s="5">
        <v>0</v>
      </c>
      <c r="K15" s="5">
        <v>1</v>
      </c>
      <c r="L15" s="6">
        <f t="shared" si="0"/>
        <v>3</v>
      </c>
      <c r="M15" s="5">
        <v>2</v>
      </c>
      <c r="N15" s="5">
        <v>1</v>
      </c>
      <c r="O15" s="5">
        <v>1</v>
      </c>
      <c r="P15" s="5">
        <v>0</v>
      </c>
      <c r="Q15" s="5">
        <v>0</v>
      </c>
      <c r="R15" s="5">
        <v>0</v>
      </c>
      <c r="S15" s="5">
        <v>1</v>
      </c>
      <c r="T15" s="6">
        <f t="shared" si="1"/>
        <v>5</v>
      </c>
    </row>
    <row r="16" spans="1:20" x14ac:dyDescent="0.35">
      <c r="A16" s="5">
        <v>14</v>
      </c>
      <c r="B16" s="5">
        <v>36</v>
      </c>
      <c r="C16" s="5" t="s">
        <v>36</v>
      </c>
      <c r="D16" s="5" t="s">
        <v>37</v>
      </c>
      <c r="E16" s="5">
        <v>1</v>
      </c>
      <c r="F16" s="5">
        <v>0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6">
        <f t="shared" si="0"/>
        <v>2</v>
      </c>
      <c r="M16" s="5">
        <v>1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6">
        <f t="shared" si="1"/>
        <v>2</v>
      </c>
    </row>
    <row r="17" spans="1:20" x14ac:dyDescent="0.35">
      <c r="A17" s="5">
        <v>14</v>
      </c>
      <c r="B17" s="5">
        <v>36</v>
      </c>
      <c r="C17" s="5" t="s">
        <v>43</v>
      </c>
      <c r="D17" s="5" t="s">
        <v>41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6">
        <f t="shared" si="0"/>
        <v>1</v>
      </c>
      <c r="M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6">
        <f t="shared" si="1"/>
        <v>1</v>
      </c>
    </row>
    <row r="18" spans="1:20" x14ac:dyDescent="0.35">
      <c r="A18" s="5">
        <v>14</v>
      </c>
      <c r="B18" s="5">
        <v>36</v>
      </c>
      <c r="C18" s="5" t="s">
        <v>45</v>
      </c>
      <c r="D18" s="5" t="s">
        <v>41</v>
      </c>
      <c r="E18" s="5">
        <v>0</v>
      </c>
      <c r="F18" s="5">
        <v>0</v>
      </c>
      <c r="G18" s="5">
        <v>0</v>
      </c>
      <c r="H18" s="5">
        <v>1</v>
      </c>
      <c r="I18" s="5">
        <v>0</v>
      </c>
      <c r="J18" s="5">
        <v>0</v>
      </c>
      <c r="K18" s="5">
        <v>0</v>
      </c>
      <c r="L18" s="6">
        <f t="shared" si="0"/>
        <v>1</v>
      </c>
      <c r="M18" s="5">
        <v>0</v>
      </c>
      <c r="N18" s="5">
        <v>0</v>
      </c>
      <c r="O18" s="5">
        <v>0</v>
      </c>
      <c r="P18" s="5">
        <v>1</v>
      </c>
      <c r="Q18" s="5">
        <v>0</v>
      </c>
      <c r="R18" s="5">
        <v>0</v>
      </c>
      <c r="S18" s="5">
        <v>0</v>
      </c>
      <c r="T18" s="6">
        <f t="shared" si="1"/>
        <v>1</v>
      </c>
    </row>
    <row r="19" spans="1:20" x14ac:dyDescent="0.35">
      <c r="A19" s="5">
        <v>14</v>
      </c>
      <c r="B19" s="5">
        <v>36</v>
      </c>
      <c r="C19" s="5" t="s">
        <v>47</v>
      </c>
      <c r="D19" s="5" t="s">
        <v>48</v>
      </c>
      <c r="E19" s="5">
        <v>0</v>
      </c>
      <c r="F19" s="5">
        <v>0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6">
        <f t="shared" si="0"/>
        <v>1</v>
      </c>
      <c r="M19" s="5">
        <v>1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0</v>
      </c>
      <c r="T19" s="6">
        <f t="shared" si="1"/>
        <v>2</v>
      </c>
    </row>
    <row r="20" spans="1:20" x14ac:dyDescent="0.35">
      <c r="A20" s="5">
        <v>14</v>
      </c>
      <c r="B20" s="5">
        <v>36</v>
      </c>
      <c r="C20" s="5" t="s">
        <v>66</v>
      </c>
      <c r="D20" s="5" t="s">
        <v>48</v>
      </c>
      <c r="E20" s="5">
        <v>2</v>
      </c>
      <c r="F20" s="5">
        <v>0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6">
        <f t="shared" si="0"/>
        <v>3</v>
      </c>
      <c r="M20" s="5">
        <v>2</v>
      </c>
      <c r="N20" s="5">
        <v>1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6">
        <f t="shared" si="1"/>
        <v>4</v>
      </c>
    </row>
    <row r="21" spans="1:20" x14ac:dyDescent="0.35">
      <c r="A21" s="5">
        <v>14</v>
      </c>
      <c r="B21" s="5">
        <v>36</v>
      </c>
      <c r="C21" s="5" t="s">
        <v>50</v>
      </c>
      <c r="D21" s="5" t="s">
        <v>51</v>
      </c>
      <c r="E21" s="5">
        <v>1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6">
        <f t="shared" si="0"/>
        <v>2</v>
      </c>
      <c r="M21" s="5">
        <v>1</v>
      </c>
      <c r="N21" s="5">
        <v>0</v>
      </c>
      <c r="O21" s="5">
        <v>1</v>
      </c>
      <c r="P21" s="5">
        <v>0</v>
      </c>
      <c r="Q21" s="5">
        <v>0</v>
      </c>
      <c r="R21" s="5">
        <v>0</v>
      </c>
      <c r="S21" s="5">
        <v>0</v>
      </c>
      <c r="T21" s="6">
        <f t="shared" si="1"/>
        <v>2</v>
      </c>
    </row>
    <row r="22" spans="1:20" x14ac:dyDescent="0.35">
      <c r="A22" s="5">
        <v>14</v>
      </c>
      <c r="B22" s="5">
        <v>36</v>
      </c>
      <c r="C22" s="5" t="s">
        <v>53</v>
      </c>
      <c r="D22" s="5" t="s">
        <v>51</v>
      </c>
      <c r="E22" s="5">
        <v>1</v>
      </c>
      <c r="F22" s="5">
        <v>1</v>
      </c>
      <c r="G22" s="5">
        <v>1</v>
      </c>
      <c r="H22" s="5">
        <v>0</v>
      </c>
      <c r="I22" s="5">
        <v>0</v>
      </c>
      <c r="J22" s="5">
        <v>0</v>
      </c>
      <c r="K22" s="5">
        <v>0</v>
      </c>
      <c r="L22" s="6">
        <f t="shared" si="0"/>
        <v>3</v>
      </c>
      <c r="M22" s="5">
        <v>1</v>
      </c>
      <c r="N22" s="5">
        <v>2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6">
        <f t="shared" si="1"/>
        <v>4</v>
      </c>
    </row>
    <row r="23" spans="1:20" x14ac:dyDescent="0.35">
      <c r="A23" s="5">
        <v>15</v>
      </c>
      <c r="B23" s="5">
        <v>37</v>
      </c>
      <c r="C23" s="5" t="s">
        <v>36</v>
      </c>
      <c r="D23" s="5" t="s">
        <v>37</v>
      </c>
      <c r="E23" s="5">
        <v>0</v>
      </c>
      <c r="F23" s="5">
        <v>1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6">
        <f t="shared" si="0"/>
        <v>2</v>
      </c>
      <c r="M23" s="5">
        <v>2</v>
      </c>
      <c r="N23" s="5">
        <v>2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6">
        <f t="shared" si="1"/>
        <v>5</v>
      </c>
    </row>
    <row r="24" spans="1:20" x14ac:dyDescent="0.35">
      <c r="A24" s="5">
        <v>15</v>
      </c>
      <c r="B24" s="5">
        <v>37</v>
      </c>
      <c r="C24" s="5" t="s">
        <v>43</v>
      </c>
      <c r="D24" s="5" t="s">
        <v>41</v>
      </c>
      <c r="E24" s="5">
        <v>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6">
        <f t="shared" si="0"/>
        <v>1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6">
        <f t="shared" si="1"/>
        <v>1</v>
      </c>
    </row>
    <row r="25" spans="1:20" x14ac:dyDescent="0.35">
      <c r="A25" s="5">
        <v>15</v>
      </c>
      <c r="B25" s="5">
        <v>37</v>
      </c>
      <c r="C25" s="5" t="s">
        <v>45</v>
      </c>
      <c r="D25" s="5" t="s">
        <v>41</v>
      </c>
      <c r="E25" s="5">
        <v>0</v>
      </c>
      <c r="F25" s="5">
        <v>0</v>
      </c>
      <c r="G25" s="5">
        <v>0</v>
      </c>
      <c r="H25" s="5">
        <v>1</v>
      </c>
      <c r="I25" s="5">
        <v>0</v>
      </c>
      <c r="J25" s="5">
        <v>0</v>
      </c>
      <c r="K25" s="5">
        <v>0</v>
      </c>
      <c r="L25" s="6">
        <f t="shared" si="0"/>
        <v>1</v>
      </c>
      <c r="M25" s="5">
        <v>0</v>
      </c>
      <c r="N25" s="5">
        <v>0</v>
      </c>
      <c r="O25" s="5">
        <v>0</v>
      </c>
      <c r="P25" s="5">
        <v>1</v>
      </c>
      <c r="Q25" s="5">
        <v>0</v>
      </c>
      <c r="R25" s="5">
        <v>0</v>
      </c>
      <c r="S25" s="5">
        <v>0</v>
      </c>
      <c r="T25" s="6">
        <f t="shared" si="1"/>
        <v>1</v>
      </c>
    </row>
    <row r="26" spans="1:20" x14ac:dyDescent="0.35">
      <c r="A26" s="5">
        <v>15</v>
      </c>
      <c r="B26" s="5">
        <v>37</v>
      </c>
      <c r="C26" s="5" t="s">
        <v>66</v>
      </c>
      <c r="D26" s="5" t="s">
        <v>48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1</v>
      </c>
      <c r="L26" s="6">
        <f t="shared" si="0"/>
        <v>1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6">
        <f t="shared" si="1"/>
        <v>1</v>
      </c>
    </row>
    <row r="27" spans="1:20" x14ac:dyDescent="0.35">
      <c r="A27" s="5">
        <v>15</v>
      </c>
      <c r="B27" s="5">
        <v>37</v>
      </c>
      <c r="C27" s="5" t="s">
        <v>59</v>
      </c>
      <c r="D27" s="5" t="s">
        <v>48</v>
      </c>
      <c r="E27" s="5">
        <v>0</v>
      </c>
      <c r="F27" s="5">
        <v>0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6">
        <f t="shared" si="0"/>
        <v>1</v>
      </c>
      <c r="M27" s="5">
        <v>1</v>
      </c>
      <c r="N27" s="5">
        <v>0</v>
      </c>
      <c r="O27" s="5">
        <v>1</v>
      </c>
      <c r="P27" s="5">
        <v>0</v>
      </c>
      <c r="Q27" s="5">
        <v>0</v>
      </c>
      <c r="R27" s="5">
        <v>0</v>
      </c>
      <c r="S27" s="5">
        <v>0</v>
      </c>
      <c r="T27" s="6">
        <f t="shared" si="1"/>
        <v>2</v>
      </c>
    </row>
    <row r="28" spans="1:20" x14ac:dyDescent="0.35">
      <c r="A28" s="5">
        <v>15</v>
      </c>
      <c r="B28" s="5">
        <v>37</v>
      </c>
      <c r="C28" s="5" t="s">
        <v>50</v>
      </c>
      <c r="D28" s="5" t="s">
        <v>51</v>
      </c>
      <c r="E28" s="5">
        <v>0</v>
      </c>
      <c r="F28" s="5">
        <v>0</v>
      </c>
      <c r="G28" s="5">
        <v>1</v>
      </c>
      <c r="H28" s="5">
        <v>0</v>
      </c>
      <c r="I28" s="5">
        <v>0</v>
      </c>
      <c r="J28" s="5">
        <v>0</v>
      </c>
      <c r="K28" s="5">
        <v>1</v>
      </c>
      <c r="L28" s="6">
        <f t="shared" si="0"/>
        <v>2</v>
      </c>
      <c r="M28" s="5">
        <v>1</v>
      </c>
      <c r="N28" s="5">
        <v>0</v>
      </c>
      <c r="O28" s="5">
        <v>1</v>
      </c>
      <c r="P28" s="5">
        <v>0</v>
      </c>
      <c r="Q28" s="5">
        <v>0</v>
      </c>
      <c r="R28" s="5">
        <v>0</v>
      </c>
      <c r="S28" s="5">
        <v>1</v>
      </c>
      <c r="T28" s="6">
        <f t="shared" si="1"/>
        <v>3</v>
      </c>
    </row>
    <row r="29" spans="1:20" x14ac:dyDescent="0.35">
      <c r="A29" s="5">
        <v>15</v>
      </c>
      <c r="B29" s="5">
        <v>37</v>
      </c>
      <c r="C29" s="5" t="s">
        <v>53</v>
      </c>
      <c r="D29" s="5" t="s">
        <v>51</v>
      </c>
      <c r="E29" s="5">
        <v>0</v>
      </c>
      <c r="F29" s="5">
        <v>2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6">
        <f t="shared" si="0"/>
        <v>3</v>
      </c>
      <c r="M29" s="5">
        <v>1</v>
      </c>
      <c r="N29" s="5">
        <v>1</v>
      </c>
      <c r="O29" s="5">
        <v>1</v>
      </c>
      <c r="P29" s="5">
        <v>0</v>
      </c>
      <c r="Q29" s="5">
        <v>0</v>
      </c>
      <c r="R29" s="5">
        <v>0</v>
      </c>
      <c r="S29" s="5">
        <v>1</v>
      </c>
      <c r="T29" s="6">
        <f t="shared" si="1"/>
        <v>4</v>
      </c>
    </row>
    <row r="30" spans="1:20" x14ac:dyDescent="0.35">
      <c r="A30" s="5">
        <v>16</v>
      </c>
      <c r="B30" s="5">
        <v>38</v>
      </c>
      <c r="C30" s="5" t="s">
        <v>36</v>
      </c>
      <c r="D30" s="5" t="s">
        <v>37</v>
      </c>
      <c r="E30" s="5">
        <v>0</v>
      </c>
      <c r="F30" s="5">
        <v>1</v>
      </c>
      <c r="G30" s="5">
        <v>1</v>
      </c>
      <c r="H30" s="5">
        <v>0</v>
      </c>
      <c r="I30" s="5">
        <v>0</v>
      </c>
      <c r="J30" s="5">
        <v>0</v>
      </c>
      <c r="K30" s="5">
        <v>0</v>
      </c>
      <c r="L30" s="6">
        <f t="shared" si="0"/>
        <v>2</v>
      </c>
      <c r="M30" s="5">
        <v>1</v>
      </c>
      <c r="N30" s="5">
        <v>1</v>
      </c>
      <c r="O30" s="5">
        <v>1</v>
      </c>
      <c r="P30" s="5">
        <v>0</v>
      </c>
      <c r="Q30" s="5">
        <v>0</v>
      </c>
      <c r="R30" s="5">
        <v>0</v>
      </c>
      <c r="S30" s="5">
        <v>0</v>
      </c>
      <c r="T30" s="6">
        <f t="shared" si="1"/>
        <v>3</v>
      </c>
    </row>
    <row r="31" spans="1:20" x14ac:dyDescent="0.35">
      <c r="A31" s="5">
        <v>16</v>
      </c>
      <c r="B31" s="5">
        <v>38</v>
      </c>
      <c r="C31" s="5" t="s">
        <v>40</v>
      </c>
      <c r="D31" s="5" t="s">
        <v>41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1</v>
      </c>
      <c r="L31" s="6">
        <f t="shared" si="0"/>
        <v>1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6">
        <f t="shared" si="1"/>
        <v>1</v>
      </c>
    </row>
    <row r="32" spans="1:20" x14ac:dyDescent="0.35">
      <c r="A32" s="5">
        <v>16</v>
      </c>
      <c r="B32" s="5">
        <v>38</v>
      </c>
      <c r="C32" s="5" t="s">
        <v>43</v>
      </c>
      <c r="D32" s="5" t="s">
        <v>41</v>
      </c>
      <c r="E32" s="5">
        <v>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6">
        <f t="shared" si="0"/>
        <v>1</v>
      </c>
      <c r="M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6">
        <f t="shared" si="1"/>
        <v>1</v>
      </c>
    </row>
    <row r="33" spans="1:20" x14ac:dyDescent="0.35">
      <c r="A33" s="5">
        <v>16</v>
      </c>
      <c r="B33" s="5">
        <v>38</v>
      </c>
      <c r="C33" s="5" t="s">
        <v>47</v>
      </c>
      <c r="D33" s="5" t="s">
        <v>48</v>
      </c>
      <c r="E33" s="5">
        <v>0</v>
      </c>
      <c r="F33" s="5">
        <v>0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6">
        <f t="shared" si="0"/>
        <v>1</v>
      </c>
      <c r="M33" s="5">
        <v>1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  <c r="S33" s="5">
        <v>0</v>
      </c>
      <c r="T33" s="6">
        <f t="shared" si="1"/>
        <v>2</v>
      </c>
    </row>
    <row r="34" spans="1:20" x14ac:dyDescent="0.35">
      <c r="A34" s="5">
        <v>16</v>
      </c>
      <c r="B34" s="5">
        <v>38</v>
      </c>
      <c r="C34" s="5" t="s">
        <v>59</v>
      </c>
      <c r="D34" s="5" t="s">
        <v>48</v>
      </c>
      <c r="E34" s="5">
        <v>0</v>
      </c>
      <c r="F34" s="5">
        <v>1</v>
      </c>
      <c r="G34" s="5">
        <v>1</v>
      </c>
      <c r="H34" s="5">
        <v>0</v>
      </c>
      <c r="I34" s="5">
        <v>0</v>
      </c>
      <c r="J34" s="5">
        <v>0</v>
      </c>
      <c r="K34" s="5">
        <v>0</v>
      </c>
      <c r="L34" s="6">
        <f t="shared" ref="L34:L65" si="2">SUM(E34:K34)</f>
        <v>2</v>
      </c>
      <c r="M34" s="5">
        <v>2</v>
      </c>
      <c r="N34" s="5">
        <v>1</v>
      </c>
      <c r="O34" s="5">
        <v>1</v>
      </c>
      <c r="P34" s="5">
        <v>0</v>
      </c>
      <c r="Q34" s="5">
        <v>0</v>
      </c>
      <c r="R34" s="5">
        <v>0</v>
      </c>
      <c r="S34" s="5">
        <v>0</v>
      </c>
      <c r="T34" s="6">
        <f t="shared" ref="T34:T65" si="3">SUM(M34:S34)</f>
        <v>4</v>
      </c>
    </row>
    <row r="35" spans="1:20" x14ac:dyDescent="0.35">
      <c r="A35" s="5">
        <v>16</v>
      </c>
      <c r="B35" s="5">
        <v>38</v>
      </c>
      <c r="C35" s="5" t="s">
        <v>50</v>
      </c>
      <c r="D35" s="5" t="s">
        <v>51</v>
      </c>
      <c r="E35" s="5">
        <v>0</v>
      </c>
      <c r="F35" s="5">
        <v>1</v>
      </c>
      <c r="G35" s="5">
        <v>1</v>
      </c>
      <c r="H35" s="5">
        <v>0</v>
      </c>
      <c r="I35" s="5">
        <v>0</v>
      </c>
      <c r="J35" s="5">
        <v>0</v>
      </c>
      <c r="K35" s="5">
        <v>0</v>
      </c>
      <c r="L35" s="6">
        <f t="shared" si="2"/>
        <v>2</v>
      </c>
      <c r="M35" s="5">
        <v>1</v>
      </c>
      <c r="N35" s="5">
        <v>0</v>
      </c>
      <c r="O35" s="5">
        <v>1</v>
      </c>
      <c r="P35" s="5">
        <v>0</v>
      </c>
      <c r="Q35" s="5">
        <v>0</v>
      </c>
      <c r="R35" s="5">
        <v>0</v>
      </c>
      <c r="S35" s="5">
        <v>0</v>
      </c>
      <c r="T35" s="6">
        <f t="shared" si="3"/>
        <v>2</v>
      </c>
    </row>
    <row r="36" spans="1:20" x14ac:dyDescent="0.35">
      <c r="A36" s="5">
        <v>16</v>
      </c>
      <c r="B36" s="5">
        <v>38</v>
      </c>
      <c r="C36" s="5" t="s">
        <v>53</v>
      </c>
      <c r="D36" s="5" t="s">
        <v>51</v>
      </c>
      <c r="E36" s="5">
        <v>0</v>
      </c>
      <c r="F36" s="5">
        <v>3</v>
      </c>
      <c r="G36" s="5">
        <v>1</v>
      </c>
      <c r="H36" s="5">
        <v>0</v>
      </c>
      <c r="I36" s="5">
        <v>0</v>
      </c>
      <c r="J36" s="5">
        <v>0</v>
      </c>
      <c r="K36" s="5">
        <v>0</v>
      </c>
      <c r="L36" s="6">
        <f t="shared" si="2"/>
        <v>4</v>
      </c>
      <c r="M36" s="5">
        <v>1</v>
      </c>
      <c r="N36" s="5">
        <v>2</v>
      </c>
      <c r="O36" s="5">
        <v>1</v>
      </c>
      <c r="P36" s="5">
        <v>0</v>
      </c>
      <c r="Q36" s="5">
        <v>0</v>
      </c>
      <c r="R36" s="5">
        <v>0</v>
      </c>
      <c r="S36" s="5">
        <v>0</v>
      </c>
      <c r="T36" s="6">
        <f t="shared" si="3"/>
        <v>4</v>
      </c>
    </row>
    <row r="37" spans="1:20" x14ac:dyDescent="0.35">
      <c r="A37" s="5">
        <v>27</v>
      </c>
      <c r="B37" s="5">
        <v>39</v>
      </c>
      <c r="C37" s="5" t="s">
        <v>36</v>
      </c>
      <c r="D37" s="5" t="s">
        <v>37</v>
      </c>
      <c r="E37" s="5">
        <v>0</v>
      </c>
      <c r="F37" s="5">
        <v>0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6">
        <f t="shared" si="2"/>
        <v>2</v>
      </c>
      <c r="M37" s="5">
        <v>0</v>
      </c>
      <c r="N37" s="5">
        <v>0</v>
      </c>
      <c r="O37" s="5">
        <v>1</v>
      </c>
      <c r="P37" s="5">
        <v>0</v>
      </c>
      <c r="Q37" s="5">
        <v>0</v>
      </c>
      <c r="R37" s="5">
        <v>1</v>
      </c>
      <c r="S37" s="5">
        <v>0</v>
      </c>
      <c r="T37" s="6">
        <f t="shared" si="3"/>
        <v>2</v>
      </c>
    </row>
    <row r="38" spans="1:20" x14ac:dyDescent="0.35">
      <c r="A38" s="5">
        <v>27</v>
      </c>
      <c r="B38" s="5">
        <v>39</v>
      </c>
      <c r="C38" s="5" t="s">
        <v>43</v>
      </c>
      <c r="D38" s="5" t="s">
        <v>41</v>
      </c>
      <c r="E38" s="5">
        <v>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6">
        <f t="shared" si="2"/>
        <v>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6">
        <f t="shared" si="3"/>
        <v>1</v>
      </c>
    </row>
    <row r="39" spans="1:20" x14ac:dyDescent="0.35">
      <c r="A39" s="5">
        <v>27</v>
      </c>
      <c r="B39" s="5">
        <v>39</v>
      </c>
      <c r="C39" s="5" t="s">
        <v>86</v>
      </c>
      <c r="D39" s="5" t="s">
        <v>41</v>
      </c>
      <c r="E39" s="5">
        <v>0</v>
      </c>
      <c r="F39" s="5">
        <v>0</v>
      </c>
      <c r="G39" s="5">
        <v>0</v>
      </c>
      <c r="H39" s="5">
        <v>0</v>
      </c>
      <c r="I39" s="5">
        <v>1</v>
      </c>
      <c r="J39" s="5">
        <v>0</v>
      </c>
      <c r="K39" s="5">
        <v>0</v>
      </c>
      <c r="L39" s="6">
        <f t="shared" si="2"/>
        <v>1</v>
      </c>
      <c r="M39" s="5">
        <v>0</v>
      </c>
      <c r="N39" s="5">
        <v>0</v>
      </c>
      <c r="O39" s="5">
        <v>0</v>
      </c>
      <c r="P39" s="5">
        <v>0</v>
      </c>
      <c r="Q39" s="5">
        <v>1</v>
      </c>
      <c r="R39" s="5">
        <v>0</v>
      </c>
      <c r="S39" s="5">
        <v>0</v>
      </c>
      <c r="T39" s="6">
        <f t="shared" si="3"/>
        <v>1</v>
      </c>
    </row>
    <row r="40" spans="1:20" x14ac:dyDescent="0.35">
      <c r="A40" s="5">
        <v>27</v>
      </c>
      <c r="B40" s="5">
        <v>39</v>
      </c>
      <c r="C40" s="5" t="s">
        <v>47</v>
      </c>
      <c r="D40" s="5" t="s">
        <v>48</v>
      </c>
      <c r="E40" s="5">
        <v>0</v>
      </c>
      <c r="F40" s="5">
        <v>0</v>
      </c>
      <c r="G40" s="5">
        <v>0</v>
      </c>
      <c r="H40" s="5">
        <v>0</v>
      </c>
      <c r="I40" s="5">
        <v>1</v>
      </c>
      <c r="J40" s="5">
        <v>1</v>
      </c>
      <c r="K40" s="5">
        <v>0</v>
      </c>
      <c r="L40" s="6">
        <f t="shared" si="2"/>
        <v>2</v>
      </c>
      <c r="M40" s="5">
        <v>0</v>
      </c>
      <c r="N40" s="5">
        <v>0</v>
      </c>
      <c r="O40" s="5">
        <v>0</v>
      </c>
      <c r="P40" s="5">
        <v>0</v>
      </c>
      <c r="Q40" s="5">
        <v>1</v>
      </c>
      <c r="R40" s="5">
        <v>1</v>
      </c>
      <c r="S40" s="5">
        <v>0</v>
      </c>
      <c r="T40" s="6">
        <f t="shared" si="3"/>
        <v>2</v>
      </c>
    </row>
    <row r="41" spans="1:20" x14ac:dyDescent="0.35">
      <c r="A41" s="5">
        <v>27</v>
      </c>
      <c r="B41" s="5">
        <v>39</v>
      </c>
      <c r="C41" s="5" t="s">
        <v>59</v>
      </c>
      <c r="D41" s="5" t="s">
        <v>48</v>
      </c>
      <c r="E41" s="5">
        <v>0</v>
      </c>
      <c r="F41" s="5">
        <v>0</v>
      </c>
      <c r="G41" s="5">
        <v>1</v>
      </c>
      <c r="H41" s="5">
        <v>0</v>
      </c>
      <c r="I41" s="5">
        <v>1</v>
      </c>
      <c r="J41" s="5">
        <v>1</v>
      </c>
      <c r="K41" s="5">
        <v>0</v>
      </c>
      <c r="L41" s="6">
        <f t="shared" si="2"/>
        <v>3</v>
      </c>
      <c r="M41" s="5">
        <v>1</v>
      </c>
      <c r="N41" s="5">
        <v>0</v>
      </c>
      <c r="O41" s="5">
        <v>1</v>
      </c>
      <c r="P41" s="5">
        <v>0</v>
      </c>
      <c r="Q41" s="5">
        <v>1</v>
      </c>
      <c r="R41" s="5">
        <v>1</v>
      </c>
      <c r="S41" s="5">
        <v>0</v>
      </c>
      <c r="T41" s="6">
        <f t="shared" si="3"/>
        <v>4</v>
      </c>
    </row>
    <row r="42" spans="1:20" x14ac:dyDescent="0.35">
      <c r="A42" s="5">
        <v>27</v>
      </c>
      <c r="B42" s="5">
        <v>39</v>
      </c>
      <c r="C42" s="5" t="s">
        <v>50</v>
      </c>
      <c r="D42" s="5" t="s">
        <v>51</v>
      </c>
      <c r="E42" s="5">
        <v>0</v>
      </c>
      <c r="F42" s="5">
        <v>0</v>
      </c>
      <c r="G42" s="5">
        <v>1</v>
      </c>
      <c r="H42" s="5">
        <v>0</v>
      </c>
      <c r="I42" s="5">
        <v>0</v>
      </c>
      <c r="J42" s="5">
        <v>0</v>
      </c>
      <c r="K42" s="5">
        <v>0</v>
      </c>
      <c r="L42" s="6">
        <f t="shared" si="2"/>
        <v>1</v>
      </c>
      <c r="M42" s="5">
        <v>1</v>
      </c>
      <c r="N42" s="5">
        <v>0</v>
      </c>
      <c r="O42" s="5">
        <v>1</v>
      </c>
      <c r="P42" s="5">
        <v>0</v>
      </c>
      <c r="Q42" s="5">
        <v>0</v>
      </c>
      <c r="R42" s="5">
        <v>0</v>
      </c>
      <c r="S42" s="5">
        <v>0</v>
      </c>
      <c r="T42" s="6">
        <f t="shared" si="3"/>
        <v>2</v>
      </c>
    </row>
    <row r="43" spans="1:20" x14ac:dyDescent="0.35">
      <c r="A43" s="5">
        <v>27</v>
      </c>
      <c r="B43" s="5">
        <v>39</v>
      </c>
      <c r="C43" s="5" t="s">
        <v>53</v>
      </c>
      <c r="D43" s="5" t="s">
        <v>51</v>
      </c>
      <c r="E43" s="5">
        <v>0</v>
      </c>
      <c r="F43" s="5">
        <v>0</v>
      </c>
      <c r="G43" s="5">
        <v>1</v>
      </c>
      <c r="H43" s="5">
        <v>0</v>
      </c>
      <c r="I43" s="5">
        <v>1</v>
      </c>
      <c r="J43" s="5">
        <v>1</v>
      </c>
      <c r="K43" s="5">
        <v>0</v>
      </c>
      <c r="L43" s="6">
        <f t="shared" si="2"/>
        <v>3</v>
      </c>
      <c r="M43" s="5">
        <v>0</v>
      </c>
      <c r="N43" s="5">
        <v>0</v>
      </c>
      <c r="O43" s="5">
        <v>1</v>
      </c>
      <c r="P43" s="5">
        <v>0</v>
      </c>
      <c r="Q43" s="5">
        <v>1</v>
      </c>
      <c r="R43" s="5">
        <v>1</v>
      </c>
      <c r="S43" s="5">
        <v>0</v>
      </c>
      <c r="T43" s="6">
        <f t="shared" si="3"/>
        <v>3</v>
      </c>
    </row>
    <row r="44" spans="1:20" x14ac:dyDescent="0.35">
      <c r="A44" s="5">
        <v>30</v>
      </c>
      <c r="B44" s="5">
        <v>40</v>
      </c>
      <c r="C44" s="5" t="s">
        <v>36</v>
      </c>
      <c r="D44" s="5" t="s">
        <v>37</v>
      </c>
      <c r="E44" s="5">
        <v>0</v>
      </c>
      <c r="F44" s="5">
        <v>1</v>
      </c>
      <c r="G44" s="5">
        <v>1</v>
      </c>
      <c r="H44" s="5">
        <v>1</v>
      </c>
      <c r="I44" s="5">
        <v>1</v>
      </c>
      <c r="J44" s="5">
        <v>0</v>
      </c>
      <c r="K44" s="5">
        <v>0</v>
      </c>
      <c r="L44" s="6">
        <f t="shared" si="2"/>
        <v>4</v>
      </c>
      <c r="M44" s="5">
        <v>1</v>
      </c>
      <c r="N44" s="5">
        <v>2</v>
      </c>
      <c r="O44" s="5">
        <v>1</v>
      </c>
      <c r="P44" s="5">
        <v>1</v>
      </c>
      <c r="Q44" s="5">
        <v>1</v>
      </c>
      <c r="R44" s="5">
        <v>0</v>
      </c>
      <c r="S44" s="5">
        <v>0</v>
      </c>
      <c r="T44" s="6">
        <f t="shared" si="3"/>
        <v>6</v>
      </c>
    </row>
    <row r="45" spans="1:20" x14ac:dyDescent="0.35">
      <c r="A45" s="5">
        <v>30</v>
      </c>
      <c r="B45" s="5">
        <v>40</v>
      </c>
      <c r="C45" s="5" t="s">
        <v>40</v>
      </c>
      <c r="D45" s="5" t="s">
        <v>41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1</v>
      </c>
      <c r="L45" s="6">
        <f t="shared" si="2"/>
        <v>1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2</v>
      </c>
      <c r="T45" s="6">
        <f t="shared" si="3"/>
        <v>2</v>
      </c>
    </row>
    <row r="46" spans="1:20" x14ac:dyDescent="0.35">
      <c r="A46" s="5">
        <v>30</v>
      </c>
      <c r="B46" s="5">
        <v>40</v>
      </c>
      <c r="C46" s="5" t="s">
        <v>86</v>
      </c>
      <c r="D46" s="5" t="s">
        <v>41</v>
      </c>
      <c r="E46" s="5">
        <v>0</v>
      </c>
      <c r="F46" s="5">
        <v>0</v>
      </c>
      <c r="G46" s="5">
        <v>0</v>
      </c>
      <c r="H46" s="5">
        <v>0</v>
      </c>
      <c r="I46" s="5">
        <v>1</v>
      </c>
      <c r="J46" s="5">
        <v>0</v>
      </c>
      <c r="K46" s="5">
        <v>0</v>
      </c>
      <c r="L46" s="6">
        <f t="shared" si="2"/>
        <v>1</v>
      </c>
      <c r="M46" s="5">
        <v>0</v>
      </c>
      <c r="N46" s="5">
        <v>0</v>
      </c>
      <c r="O46" s="5">
        <v>0</v>
      </c>
      <c r="P46" s="5">
        <v>0</v>
      </c>
      <c r="Q46" s="5">
        <v>1</v>
      </c>
      <c r="R46" s="5">
        <v>0</v>
      </c>
      <c r="S46" s="5">
        <v>0</v>
      </c>
      <c r="T46" s="6">
        <f t="shared" si="3"/>
        <v>1</v>
      </c>
    </row>
    <row r="47" spans="1:20" x14ac:dyDescent="0.35">
      <c r="A47" s="5">
        <v>30</v>
      </c>
      <c r="B47" s="5">
        <v>40</v>
      </c>
      <c r="C47" s="5" t="s">
        <v>66</v>
      </c>
      <c r="D47" s="5" t="s">
        <v>48</v>
      </c>
      <c r="E47" s="5">
        <v>0</v>
      </c>
      <c r="F47" s="5">
        <v>0</v>
      </c>
      <c r="G47" s="5">
        <v>1</v>
      </c>
      <c r="H47" s="5">
        <v>0</v>
      </c>
      <c r="I47" s="5">
        <v>1</v>
      </c>
      <c r="J47" s="5">
        <v>0</v>
      </c>
      <c r="K47" s="5">
        <v>0</v>
      </c>
      <c r="L47" s="6">
        <f t="shared" si="2"/>
        <v>2</v>
      </c>
      <c r="M47" s="5">
        <v>1</v>
      </c>
      <c r="N47" s="5">
        <v>0</v>
      </c>
      <c r="O47" s="5">
        <v>1</v>
      </c>
      <c r="P47" s="5">
        <v>1</v>
      </c>
      <c r="Q47" s="5">
        <v>0</v>
      </c>
      <c r="R47" s="5">
        <v>0</v>
      </c>
      <c r="S47" s="5">
        <v>0</v>
      </c>
      <c r="T47" s="6">
        <f t="shared" si="3"/>
        <v>3</v>
      </c>
    </row>
    <row r="48" spans="1:20" x14ac:dyDescent="0.35">
      <c r="A48" s="5">
        <v>30</v>
      </c>
      <c r="B48" s="5">
        <v>40</v>
      </c>
      <c r="C48" s="5" t="s">
        <v>59</v>
      </c>
      <c r="D48" s="5" t="s">
        <v>48</v>
      </c>
      <c r="E48" s="5">
        <v>0</v>
      </c>
      <c r="F48" s="5">
        <v>0</v>
      </c>
      <c r="G48" s="5">
        <v>1</v>
      </c>
      <c r="H48" s="5">
        <v>0</v>
      </c>
      <c r="I48" s="5">
        <v>1</v>
      </c>
      <c r="J48" s="5">
        <v>0</v>
      </c>
      <c r="K48" s="5">
        <v>0</v>
      </c>
      <c r="L48" s="6">
        <f t="shared" si="2"/>
        <v>2</v>
      </c>
      <c r="M48" s="5">
        <v>1</v>
      </c>
      <c r="N48" s="5">
        <v>0</v>
      </c>
      <c r="O48" s="5">
        <v>1</v>
      </c>
      <c r="P48" s="5">
        <v>0</v>
      </c>
      <c r="Q48" s="5">
        <v>1</v>
      </c>
      <c r="R48" s="5">
        <v>0</v>
      </c>
      <c r="S48" s="5">
        <v>0</v>
      </c>
      <c r="T48" s="6">
        <f t="shared" si="3"/>
        <v>3</v>
      </c>
    </row>
    <row r="49" spans="1:20" x14ac:dyDescent="0.35">
      <c r="A49" s="5">
        <v>30</v>
      </c>
      <c r="B49" s="5">
        <v>40</v>
      </c>
      <c r="C49" s="5" t="s">
        <v>50</v>
      </c>
      <c r="D49" s="5" t="s">
        <v>51</v>
      </c>
      <c r="E49" s="5">
        <v>0</v>
      </c>
      <c r="F49" s="5">
        <v>0</v>
      </c>
      <c r="G49" s="5">
        <v>1</v>
      </c>
      <c r="H49" s="5">
        <v>1</v>
      </c>
      <c r="I49" s="5">
        <v>1</v>
      </c>
      <c r="J49" s="5">
        <v>0</v>
      </c>
      <c r="K49" s="5">
        <v>0</v>
      </c>
      <c r="L49" s="6">
        <f t="shared" si="2"/>
        <v>3</v>
      </c>
      <c r="M49" s="5">
        <v>1</v>
      </c>
      <c r="N49" s="5">
        <v>0</v>
      </c>
      <c r="O49" s="5">
        <v>1</v>
      </c>
      <c r="P49" s="5">
        <v>1</v>
      </c>
      <c r="Q49" s="5">
        <v>1</v>
      </c>
      <c r="R49" s="5">
        <v>0</v>
      </c>
      <c r="S49" s="5">
        <v>0</v>
      </c>
      <c r="T49" s="6">
        <f t="shared" si="3"/>
        <v>4</v>
      </c>
    </row>
    <row r="50" spans="1:20" x14ac:dyDescent="0.35">
      <c r="A50" s="5">
        <v>30</v>
      </c>
      <c r="B50" s="5">
        <v>40</v>
      </c>
      <c r="C50" s="5" t="s">
        <v>53</v>
      </c>
      <c r="D50" s="5" t="s">
        <v>51</v>
      </c>
      <c r="E50" s="5">
        <v>0</v>
      </c>
      <c r="F50" s="5">
        <v>1</v>
      </c>
      <c r="G50" s="5">
        <v>1</v>
      </c>
      <c r="H50" s="5">
        <v>0</v>
      </c>
      <c r="I50" s="5">
        <v>2</v>
      </c>
      <c r="J50" s="5">
        <v>0</v>
      </c>
      <c r="K50" s="5">
        <v>0</v>
      </c>
      <c r="L50" s="6">
        <f t="shared" si="2"/>
        <v>4</v>
      </c>
      <c r="M50" s="5">
        <v>1</v>
      </c>
      <c r="N50" s="5">
        <v>0</v>
      </c>
      <c r="O50" s="5">
        <v>1</v>
      </c>
      <c r="P50" s="5">
        <v>0</v>
      </c>
      <c r="Q50" s="5">
        <v>1</v>
      </c>
      <c r="R50" s="5">
        <v>0</v>
      </c>
      <c r="S50" s="5">
        <v>0</v>
      </c>
      <c r="T50" s="6">
        <f t="shared" si="3"/>
        <v>3</v>
      </c>
    </row>
    <row r="51" spans="1:20" x14ac:dyDescent="0.35">
      <c r="A51" s="5">
        <v>33</v>
      </c>
      <c r="B51" s="5">
        <v>41</v>
      </c>
      <c r="C51" s="5" t="s">
        <v>36</v>
      </c>
      <c r="D51" s="5" t="s">
        <v>37</v>
      </c>
      <c r="E51" s="5">
        <v>0</v>
      </c>
      <c r="F51" s="5">
        <v>2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  <c r="L51" s="6">
        <f t="shared" si="2"/>
        <v>3</v>
      </c>
      <c r="M51" s="5">
        <v>0</v>
      </c>
      <c r="N51" s="5">
        <v>2</v>
      </c>
      <c r="O51" s="5">
        <v>1</v>
      </c>
      <c r="P51" s="5">
        <v>0</v>
      </c>
      <c r="Q51" s="5">
        <v>0</v>
      </c>
      <c r="R51" s="5">
        <v>0</v>
      </c>
      <c r="S51" s="5">
        <v>0</v>
      </c>
      <c r="T51" s="6">
        <f t="shared" si="3"/>
        <v>3</v>
      </c>
    </row>
    <row r="52" spans="1:20" x14ac:dyDescent="0.35">
      <c r="A52" s="5">
        <v>33</v>
      </c>
      <c r="B52" s="5">
        <v>41</v>
      </c>
      <c r="C52" s="5" t="s">
        <v>40</v>
      </c>
      <c r="D52" s="5" t="s">
        <v>41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1</v>
      </c>
      <c r="L52" s="6">
        <f t="shared" si="2"/>
        <v>1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1</v>
      </c>
      <c r="T52" s="6">
        <f t="shared" si="3"/>
        <v>1</v>
      </c>
    </row>
    <row r="53" spans="1:20" x14ac:dyDescent="0.35">
      <c r="A53" s="5">
        <v>33</v>
      </c>
      <c r="B53" s="5">
        <v>41</v>
      </c>
      <c r="C53" s="5" t="s">
        <v>43</v>
      </c>
      <c r="D53" s="5" t="s">
        <v>41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6">
        <f t="shared" si="2"/>
        <v>1</v>
      </c>
      <c r="M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6">
        <f t="shared" si="3"/>
        <v>1</v>
      </c>
    </row>
    <row r="54" spans="1:20" x14ac:dyDescent="0.35">
      <c r="A54" s="5">
        <v>33</v>
      </c>
      <c r="B54" s="5">
        <v>41</v>
      </c>
      <c r="C54" s="5" t="s">
        <v>66</v>
      </c>
      <c r="D54" s="5" t="s">
        <v>48</v>
      </c>
      <c r="E54" s="5">
        <v>0</v>
      </c>
      <c r="F54" s="5">
        <v>1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6">
        <f t="shared" si="2"/>
        <v>1</v>
      </c>
      <c r="M54" s="5">
        <v>0</v>
      </c>
      <c r="N54" s="5">
        <v>0</v>
      </c>
      <c r="O54" s="5">
        <v>1</v>
      </c>
      <c r="P54" s="5">
        <v>0</v>
      </c>
      <c r="Q54" s="5">
        <v>0</v>
      </c>
      <c r="R54" s="5">
        <v>0</v>
      </c>
      <c r="S54" s="5">
        <v>0</v>
      </c>
      <c r="T54" s="6">
        <f t="shared" si="3"/>
        <v>1</v>
      </c>
    </row>
    <row r="55" spans="1:20" x14ac:dyDescent="0.35">
      <c r="A55" s="5">
        <v>33</v>
      </c>
      <c r="B55" s="5">
        <v>41</v>
      </c>
      <c r="C55" s="5" t="s">
        <v>59</v>
      </c>
      <c r="D55" s="5" t="s">
        <v>48</v>
      </c>
      <c r="E55" s="5">
        <v>0</v>
      </c>
      <c r="F55" s="5">
        <v>1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6">
        <f t="shared" si="2"/>
        <v>1</v>
      </c>
      <c r="M55" s="5">
        <v>0</v>
      </c>
      <c r="N55" s="5">
        <v>0</v>
      </c>
      <c r="O55" s="5">
        <v>1</v>
      </c>
      <c r="P55" s="5">
        <v>0</v>
      </c>
      <c r="Q55" s="5">
        <v>0</v>
      </c>
      <c r="R55" s="5">
        <v>0</v>
      </c>
      <c r="S55" s="5">
        <v>0</v>
      </c>
      <c r="T55" s="6">
        <f t="shared" si="3"/>
        <v>1</v>
      </c>
    </row>
    <row r="56" spans="1:20" x14ac:dyDescent="0.35">
      <c r="A56" s="5">
        <v>33</v>
      </c>
      <c r="B56" s="5">
        <v>41</v>
      </c>
      <c r="C56" s="5" t="s">
        <v>50</v>
      </c>
      <c r="D56" s="5" t="s">
        <v>51</v>
      </c>
      <c r="E56" s="5">
        <v>0</v>
      </c>
      <c r="F56" s="5">
        <v>2</v>
      </c>
      <c r="G56" s="5">
        <v>1</v>
      </c>
      <c r="H56" s="5">
        <v>0</v>
      </c>
      <c r="I56" s="5">
        <v>0</v>
      </c>
      <c r="J56" s="5">
        <v>0</v>
      </c>
      <c r="K56" s="5">
        <v>0</v>
      </c>
      <c r="L56" s="6">
        <f t="shared" si="2"/>
        <v>3</v>
      </c>
      <c r="M56" s="5">
        <v>0</v>
      </c>
      <c r="N56" s="5">
        <v>0</v>
      </c>
      <c r="O56" s="5">
        <v>1</v>
      </c>
      <c r="P56" s="5">
        <v>0</v>
      </c>
      <c r="Q56" s="5">
        <v>0</v>
      </c>
      <c r="R56" s="5">
        <v>0</v>
      </c>
      <c r="S56" s="5">
        <v>0</v>
      </c>
      <c r="T56" s="6">
        <f t="shared" si="3"/>
        <v>1</v>
      </c>
    </row>
    <row r="57" spans="1:20" x14ac:dyDescent="0.35">
      <c r="A57" s="5">
        <v>33</v>
      </c>
      <c r="B57" s="5">
        <v>41</v>
      </c>
      <c r="C57" s="5" t="s">
        <v>53</v>
      </c>
      <c r="D57" s="5" t="s">
        <v>51</v>
      </c>
      <c r="E57" s="5">
        <v>0</v>
      </c>
      <c r="F57" s="5">
        <v>3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6">
        <f t="shared" si="2"/>
        <v>4</v>
      </c>
      <c r="M57" s="5">
        <v>0</v>
      </c>
      <c r="N57" s="5">
        <v>1</v>
      </c>
      <c r="O57" s="5">
        <v>1</v>
      </c>
      <c r="P57" s="5">
        <v>0</v>
      </c>
      <c r="Q57" s="5">
        <v>0</v>
      </c>
      <c r="R57" s="5">
        <v>0</v>
      </c>
      <c r="S57" s="5">
        <v>0</v>
      </c>
      <c r="T57" s="6">
        <f t="shared" si="3"/>
        <v>2</v>
      </c>
    </row>
    <row r="58" spans="1:20" x14ac:dyDescent="0.35">
      <c r="A58" s="5">
        <v>38</v>
      </c>
      <c r="B58" s="5">
        <v>42</v>
      </c>
      <c r="C58" s="5" t="s">
        <v>36</v>
      </c>
      <c r="D58" s="5" t="s">
        <v>37</v>
      </c>
      <c r="E58" s="5">
        <v>0</v>
      </c>
      <c r="F58" s="5">
        <v>1</v>
      </c>
      <c r="G58" s="5">
        <v>1</v>
      </c>
      <c r="H58" s="5">
        <v>0</v>
      </c>
      <c r="I58" s="5">
        <v>0</v>
      </c>
      <c r="J58" s="5">
        <v>1</v>
      </c>
      <c r="K58" s="5">
        <v>0</v>
      </c>
      <c r="L58" s="6">
        <f t="shared" si="2"/>
        <v>3</v>
      </c>
      <c r="M58" s="5">
        <v>0</v>
      </c>
      <c r="N58" s="5">
        <v>1</v>
      </c>
      <c r="O58" s="5">
        <v>1</v>
      </c>
      <c r="P58" s="5">
        <v>0</v>
      </c>
      <c r="Q58" s="5">
        <v>0</v>
      </c>
      <c r="R58" s="5">
        <v>1</v>
      </c>
      <c r="S58" s="5">
        <v>0</v>
      </c>
      <c r="T58" s="6">
        <f t="shared" si="3"/>
        <v>3</v>
      </c>
    </row>
    <row r="59" spans="1:20" x14ac:dyDescent="0.35">
      <c r="A59" s="5">
        <v>38</v>
      </c>
      <c r="B59" s="5">
        <v>42</v>
      </c>
      <c r="C59" s="5" t="s">
        <v>40</v>
      </c>
      <c r="D59" s="5" t="s">
        <v>41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1</v>
      </c>
      <c r="L59" s="6">
        <f t="shared" si="2"/>
        <v>1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6">
        <f t="shared" si="3"/>
        <v>1</v>
      </c>
    </row>
    <row r="60" spans="1:20" x14ac:dyDescent="0.35">
      <c r="A60" s="5">
        <v>38</v>
      </c>
      <c r="B60" s="5">
        <v>42</v>
      </c>
      <c r="C60" s="5" t="s">
        <v>45</v>
      </c>
      <c r="D60" s="5" t="s">
        <v>41</v>
      </c>
      <c r="E60" s="5">
        <v>0</v>
      </c>
      <c r="F60" s="5">
        <v>0</v>
      </c>
      <c r="G60" s="5">
        <v>0</v>
      </c>
      <c r="H60" s="5">
        <v>1</v>
      </c>
      <c r="I60" s="5">
        <v>0</v>
      </c>
      <c r="J60" s="5">
        <v>0</v>
      </c>
      <c r="K60" s="5">
        <v>0</v>
      </c>
      <c r="L60" s="6">
        <f t="shared" si="2"/>
        <v>1</v>
      </c>
      <c r="M60" s="5">
        <v>0</v>
      </c>
      <c r="N60" s="5">
        <v>0</v>
      </c>
      <c r="O60" s="5">
        <v>0</v>
      </c>
      <c r="P60" s="5">
        <v>1</v>
      </c>
      <c r="Q60" s="5">
        <v>0</v>
      </c>
      <c r="R60" s="5">
        <v>0</v>
      </c>
      <c r="S60" s="5">
        <v>0</v>
      </c>
      <c r="T60" s="6">
        <f t="shared" si="3"/>
        <v>1</v>
      </c>
    </row>
    <row r="61" spans="1:20" x14ac:dyDescent="0.35">
      <c r="A61" s="5">
        <v>38</v>
      </c>
      <c r="B61" s="5">
        <v>42</v>
      </c>
      <c r="C61" s="5" t="s">
        <v>47</v>
      </c>
      <c r="D61" s="5" t="s">
        <v>48</v>
      </c>
      <c r="E61" s="5">
        <v>0</v>
      </c>
      <c r="F61" s="5">
        <v>1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6">
        <f t="shared" si="2"/>
        <v>2</v>
      </c>
      <c r="M61" s="5">
        <v>0</v>
      </c>
      <c r="N61" s="5">
        <v>3</v>
      </c>
      <c r="O61" s="5">
        <v>1</v>
      </c>
      <c r="P61" s="5">
        <v>0</v>
      </c>
      <c r="Q61" s="5">
        <v>0</v>
      </c>
      <c r="R61" s="5">
        <v>1</v>
      </c>
      <c r="S61" s="5">
        <v>0</v>
      </c>
      <c r="T61" s="6">
        <f t="shared" si="3"/>
        <v>5</v>
      </c>
    </row>
    <row r="62" spans="1:20" x14ac:dyDescent="0.35">
      <c r="A62" s="5">
        <v>38</v>
      </c>
      <c r="B62" s="5">
        <v>42</v>
      </c>
      <c r="C62" s="5" t="s">
        <v>66</v>
      </c>
      <c r="D62" s="5" t="s">
        <v>48</v>
      </c>
      <c r="E62" s="5">
        <v>0</v>
      </c>
      <c r="F62" s="5">
        <v>0</v>
      </c>
      <c r="G62" s="5">
        <v>1</v>
      </c>
      <c r="H62" s="5">
        <v>0</v>
      </c>
      <c r="I62" s="5">
        <v>0</v>
      </c>
      <c r="J62" s="5">
        <v>0</v>
      </c>
      <c r="K62" s="5">
        <v>0</v>
      </c>
      <c r="L62" s="6">
        <f t="shared" si="2"/>
        <v>1</v>
      </c>
      <c r="M62" s="5">
        <v>0</v>
      </c>
      <c r="N62" s="5">
        <v>0</v>
      </c>
      <c r="O62" s="5">
        <v>1</v>
      </c>
      <c r="P62" s="5">
        <v>0</v>
      </c>
      <c r="Q62" s="5">
        <v>0</v>
      </c>
      <c r="R62" s="5">
        <v>1</v>
      </c>
      <c r="S62" s="5">
        <v>0</v>
      </c>
      <c r="T62" s="6">
        <f t="shared" si="3"/>
        <v>2</v>
      </c>
    </row>
    <row r="63" spans="1:20" x14ac:dyDescent="0.35">
      <c r="A63" s="5">
        <v>38</v>
      </c>
      <c r="B63" s="5">
        <v>42</v>
      </c>
      <c r="C63" s="5" t="s">
        <v>50</v>
      </c>
      <c r="D63" s="5" t="s">
        <v>51</v>
      </c>
      <c r="E63" s="5">
        <v>0</v>
      </c>
      <c r="F63" s="5">
        <v>0</v>
      </c>
      <c r="G63" s="5">
        <v>1</v>
      </c>
      <c r="H63" s="5">
        <v>0</v>
      </c>
      <c r="I63" s="5">
        <v>0</v>
      </c>
      <c r="J63" s="5">
        <v>0</v>
      </c>
      <c r="K63" s="5">
        <v>0</v>
      </c>
      <c r="L63" s="6">
        <f t="shared" si="2"/>
        <v>1</v>
      </c>
      <c r="M63" s="5">
        <v>0</v>
      </c>
      <c r="N63" s="5">
        <v>1</v>
      </c>
      <c r="O63" s="5">
        <v>1</v>
      </c>
      <c r="P63" s="5">
        <v>0</v>
      </c>
      <c r="Q63" s="5">
        <v>0</v>
      </c>
      <c r="R63" s="5">
        <v>1</v>
      </c>
      <c r="S63" s="5">
        <v>0</v>
      </c>
      <c r="T63" s="6">
        <f t="shared" si="3"/>
        <v>3</v>
      </c>
    </row>
    <row r="64" spans="1:20" x14ac:dyDescent="0.35">
      <c r="A64" s="5">
        <v>38</v>
      </c>
      <c r="B64" s="5">
        <v>42</v>
      </c>
      <c r="C64" s="5" t="s">
        <v>53</v>
      </c>
      <c r="D64" s="5" t="s">
        <v>51</v>
      </c>
      <c r="E64" s="5">
        <v>0</v>
      </c>
      <c r="F64" s="5">
        <v>0</v>
      </c>
      <c r="G64" s="5">
        <v>1</v>
      </c>
      <c r="H64" s="5">
        <v>0</v>
      </c>
      <c r="I64" s="5">
        <v>0</v>
      </c>
      <c r="J64" s="5">
        <v>1</v>
      </c>
      <c r="K64" s="5">
        <v>0</v>
      </c>
      <c r="L64" s="6">
        <f t="shared" si="2"/>
        <v>2</v>
      </c>
      <c r="M64" s="5">
        <v>0</v>
      </c>
      <c r="N64" s="5">
        <v>0</v>
      </c>
      <c r="O64" s="5">
        <v>1</v>
      </c>
      <c r="P64" s="5">
        <v>0</v>
      </c>
      <c r="Q64" s="5">
        <v>0</v>
      </c>
      <c r="R64" s="5">
        <v>1</v>
      </c>
      <c r="S64" s="5">
        <v>0</v>
      </c>
      <c r="T64" s="6">
        <f t="shared" si="3"/>
        <v>2</v>
      </c>
    </row>
    <row r="65" spans="1:20" x14ac:dyDescent="0.35">
      <c r="A65" s="5">
        <v>39</v>
      </c>
      <c r="B65" s="5">
        <v>43</v>
      </c>
      <c r="C65" s="5" t="s">
        <v>36</v>
      </c>
      <c r="D65" s="5" t="s">
        <v>37</v>
      </c>
      <c r="E65" s="5">
        <v>0</v>
      </c>
      <c r="F65" s="5">
        <v>2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6">
        <f t="shared" si="2"/>
        <v>3</v>
      </c>
      <c r="M65" s="5">
        <v>1</v>
      </c>
      <c r="N65" s="5">
        <v>1</v>
      </c>
      <c r="O65" s="5">
        <v>1</v>
      </c>
      <c r="P65" s="5">
        <v>0</v>
      </c>
      <c r="Q65" s="5">
        <v>1</v>
      </c>
      <c r="R65" s="5">
        <v>0</v>
      </c>
      <c r="S65" s="5">
        <v>0</v>
      </c>
      <c r="T65" s="6">
        <f t="shared" si="3"/>
        <v>4</v>
      </c>
    </row>
    <row r="66" spans="1:20" x14ac:dyDescent="0.35">
      <c r="A66" s="5">
        <v>39</v>
      </c>
      <c r="B66" s="5">
        <v>43</v>
      </c>
      <c r="C66" s="5" t="s">
        <v>40</v>
      </c>
      <c r="D66" s="5" t="s">
        <v>41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1</v>
      </c>
      <c r="L66" s="6">
        <f t="shared" ref="L66:L97" si="4">SUM(E66:K66)</f>
        <v>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  <c r="T66" s="6">
        <f t="shared" ref="T66:T97" si="5">SUM(M66:S66)</f>
        <v>1</v>
      </c>
    </row>
    <row r="67" spans="1:20" x14ac:dyDescent="0.35">
      <c r="A67" s="5">
        <v>39</v>
      </c>
      <c r="B67" s="5">
        <v>43</v>
      </c>
      <c r="C67" s="5" t="s">
        <v>43</v>
      </c>
      <c r="D67" s="5" t="s">
        <v>41</v>
      </c>
      <c r="E67" s="5">
        <v>0</v>
      </c>
      <c r="F67" s="5">
        <v>0</v>
      </c>
      <c r="G67" s="5">
        <v>1</v>
      </c>
      <c r="H67" s="5">
        <v>0</v>
      </c>
      <c r="I67" s="5">
        <v>0</v>
      </c>
      <c r="J67" s="5">
        <v>0</v>
      </c>
      <c r="K67" s="5">
        <v>0</v>
      </c>
      <c r="L67" s="6">
        <f t="shared" si="4"/>
        <v>1</v>
      </c>
      <c r="M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6">
        <f t="shared" si="5"/>
        <v>1</v>
      </c>
    </row>
    <row r="68" spans="1:20" x14ac:dyDescent="0.35">
      <c r="A68" s="5">
        <v>39</v>
      </c>
      <c r="B68" s="5">
        <v>43</v>
      </c>
      <c r="C68" s="5" t="s">
        <v>47</v>
      </c>
      <c r="D68" s="5" t="s">
        <v>48</v>
      </c>
      <c r="E68" s="5">
        <v>0</v>
      </c>
      <c r="F68" s="5">
        <v>2</v>
      </c>
      <c r="G68" s="5">
        <v>1</v>
      </c>
      <c r="H68" s="5">
        <v>0</v>
      </c>
      <c r="I68" s="5">
        <v>0</v>
      </c>
      <c r="J68" s="5">
        <v>0</v>
      </c>
      <c r="K68" s="5">
        <v>0</v>
      </c>
      <c r="L68" s="6">
        <f t="shared" si="4"/>
        <v>3</v>
      </c>
      <c r="M68" s="5">
        <v>0</v>
      </c>
      <c r="N68" s="5">
        <v>2</v>
      </c>
      <c r="O68" s="5">
        <v>1</v>
      </c>
      <c r="P68" s="5">
        <v>0</v>
      </c>
      <c r="Q68" s="5">
        <v>1</v>
      </c>
      <c r="R68" s="5">
        <v>0</v>
      </c>
      <c r="S68" s="5">
        <v>0</v>
      </c>
      <c r="T68" s="6">
        <f t="shared" si="5"/>
        <v>4</v>
      </c>
    </row>
    <row r="69" spans="1:20" x14ac:dyDescent="0.35">
      <c r="A69" s="5">
        <v>39</v>
      </c>
      <c r="B69" s="5">
        <v>43</v>
      </c>
      <c r="C69" s="5" t="s">
        <v>66</v>
      </c>
      <c r="D69" s="5" t="s">
        <v>48</v>
      </c>
      <c r="E69" s="5">
        <v>0</v>
      </c>
      <c r="F69" s="5">
        <v>0</v>
      </c>
      <c r="G69" s="5">
        <v>1</v>
      </c>
      <c r="H69" s="5">
        <v>0</v>
      </c>
      <c r="I69" s="5">
        <v>0</v>
      </c>
      <c r="J69" s="5">
        <v>0</v>
      </c>
      <c r="K69" s="5">
        <v>0</v>
      </c>
      <c r="L69" s="6">
        <f t="shared" si="4"/>
        <v>1</v>
      </c>
      <c r="M69" s="5">
        <v>0</v>
      </c>
      <c r="N69" s="5">
        <v>0</v>
      </c>
      <c r="O69" s="5">
        <v>1</v>
      </c>
      <c r="P69" s="5">
        <v>0</v>
      </c>
      <c r="Q69" s="5">
        <v>1</v>
      </c>
      <c r="R69" s="5">
        <v>0</v>
      </c>
      <c r="S69" s="5">
        <v>0</v>
      </c>
      <c r="T69" s="6">
        <f t="shared" si="5"/>
        <v>2</v>
      </c>
    </row>
    <row r="70" spans="1:20" x14ac:dyDescent="0.35">
      <c r="A70" s="5">
        <v>39</v>
      </c>
      <c r="B70" s="5">
        <v>43</v>
      </c>
      <c r="C70" s="5" t="s">
        <v>50</v>
      </c>
      <c r="D70" s="5" t="s">
        <v>51</v>
      </c>
      <c r="E70" s="5">
        <v>1</v>
      </c>
      <c r="F70" s="5">
        <v>1</v>
      </c>
      <c r="G70" s="5">
        <v>1</v>
      </c>
      <c r="H70" s="5">
        <v>0</v>
      </c>
      <c r="I70" s="5">
        <v>0</v>
      </c>
      <c r="J70" s="5">
        <v>0</v>
      </c>
      <c r="K70" s="5">
        <v>0</v>
      </c>
      <c r="L70" s="6">
        <f t="shared" si="4"/>
        <v>3</v>
      </c>
      <c r="M70" s="5">
        <v>1</v>
      </c>
      <c r="N70" s="5">
        <v>1</v>
      </c>
      <c r="O70" s="5">
        <v>1</v>
      </c>
      <c r="P70" s="5">
        <v>0</v>
      </c>
      <c r="Q70" s="5">
        <v>0</v>
      </c>
      <c r="R70" s="5">
        <v>1</v>
      </c>
      <c r="S70" s="5">
        <v>0</v>
      </c>
      <c r="T70" s="6">
        <f t="shared" si="5"/>
        <v>4</v>
      </c>
    </row>
    <row r="71" spans="1:20" x14ac:dyDescent="0.35">
      <c r="A71" s="5">
        <v>39</v>
      </c>
      <c r="B71" s="5">
        <v>43</v>
      </c>
      <c r="C71" s="5" t="s">
        <v>53</v>
      </c>
      <c r="D71" s="5" t="s">
        <v>51</v>
      </c>
      <c r="E71" s="5">
        <v>0</v>
      </c>
      <c r="F71" s="5">
        <v>2</v>
      </c>
      <c r="G71" s="5">
        <v>1</v>
      </c>
      <c r="H71" s="5">
        <v>0</v>
      </c>
      <c r="I71" s="5">
        <v>0</v>
      </c>
      <c r="J71" s="5">
        <v>0</v>
      </c>
      <c r="K71" s="5">
        <v>1</v>
      </c>
      <c r="L71" s="6">
        <f t="shared" si="4"/>
        <v>4</v>
      </c>
      <c r="M71" s="5">
        <v>0</v>
      </c>
      <c r="N71" s="5">
        <v>2</v>
      </c>
      <c r="O71" s="5">
        <v>1</v>
      </c>
      <c r="P71" s="5">
        <v>0</v>
      </c>
      <c r="Q71" s="5">
        <v>1</v>
      </c>
      <c r="R71" s="5">
        <v>0</v>
      </c>
      <c r="S71" s="5">
        <v>1</v>
      </c>
      <c r="T71" s="6">
        <f t="shared" si="5"/>
        <v>5</v>
      </c>
    </row>
    <row r="72" spans="1:20" x14ac:dyDescent="0.35">
      <c r="A72" s="5">
        <v>40</v>
      </c>
      <c r="B72" s="5">
        <v>44</v>
      </c>
      <c r="C72" s="5" t="s">
        <v>36</v>
      </c>
      <c r="D72" s="5" t="s">
        <v>37</v>
      </c>
      <c r="E72" s="5">
        <v>0</v>
      </c>
      <c r="F72" s="5">
        <v>0</v>
      </c>
      <c r="G72" s="5">
        <v>1</v>
      </c>
      <c r="H72" s="5">
        <v>0</v>
      </c>
      <c r="I72" s="5">
        <v>0</v>
      </c>
      <c r="J72" s="5">
        <v>0</v>
      </c>
      <c r="K72" s="5">
        <v>1</v>
      </c>
      <c r="L72" s="6">
        <f t="shared" si="4"/>
        <v>2</v>
      </c>
      <c r="M72" s="5">
        <v>1</v>
      </c>
      <c r="N72" s="5">
        <v>1</v>
      </c>
      <c r="O72" s="5">
        <v>1</v>
      </c>
      <c r="P72" s="5">
        <v>0</v>
      </c>
      <c r="Q72" s="5">
        <v>0</v>
      </c>
      <c r="R72" s="5">
        <v>0</v>
      </c>
      <c r="S72" s="5">
        <v>0</v>
      </c>
      <c r="T72" s="6">
        <f t="shared" si="5"/>
        <v>3</v>
      </c>
    </row>
    <row r="73" spans="1:20" x14ac:dyDescent="0.35">
      <c r="A73" s="5">
        <v>40</v>
      </c>
      <c r="B73" s="5">
        <v>44</v>
      </c>
      <c r="C73" s="5" t="s">
        <v>40</v>
      </c>
      <c r="D73" s="5" t="s">
        <v>41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1</v>
      </c>
      <c r="L73" s="6">
        <f t="shared" si="4"/>
        <v>1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1</v>
      </c>
      <c r="T73" s="6">
        <f t="shared" si="5"/>
        <v>1</v>
      </c>
    </row>
    <row r="74" spans="1:20" x14ac:dyDescent="0.35">
      <c r="A74" s="5">
        <v>40</v>
      </c>
      <c r="B74" s="5">
        <v>44</v>
      </c>
      <c r="C74" s="5" t="s">
        <v>43</v>
      </c>
      <c r="D74" s="5" t="s">
        <v>41</v>
      </c>
      <c r="E74" s="5">
        <v>0</v>
      </c>
      <c r="F74" s="5">
        <v>0</v>
      </c>
      <c r="G74" s="5">
        <v>1</v>
      </c>
      <c r="H74" s="5">
        <v>0</v>
      </c>
      <c r="I74" s="5">
        <v>0</v>
      </c>
      <c r="J74" s="5">
        <v>0</v>
      </c>
      <c r="K74" s="5">
        <v>0</v>
      </c>
      <c r="L74" s="6">
        <f t="shared" si="4"/>
        <v>1</v>
      </c>
      <c r="M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6">
        <f t="shared" si="5"/>
        <v>1</v>
      </c>
    </row>
    <row r="75" spans="1:20" x14ac:dyDescent="0.35">
      <c r="A75" s="5">
        <v>40</v>
      </c>
      <c r="B75" s="5">
        <v>44</v>
      </c>
      <c r="C75" s="5" t="s">
        <v>47</v>
      </c>
      <c r="D75" s="5" t="s">
        <v>48</v>
      </c>
      <c r="E75" s="5">
        <v>0</v>
      </c>
      <c r="F75" s="5">
        <v>2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6">
        <f t="shared" si="4"/>
        <v>3</v>
      </c>
      <c r="M75" s="5">
        <v>0</v>
      </c>
      <c r="N75" s="5">
        <v>2</v>
      </c>
      <c r="O75" s="5">
        <v>1</v>
      </c>
      <c r="P75" s="5">
        <v>0</v>
      </c>
      <c r="Q75" s="5">
        <v>0</v>
      </c>
      <c r="R75" s="5">
        <v>0</v>
      </c>
      <c r="S75" s="5">
        <v>0</v>
      </c>
      <c r="T75" s="6">
        <f t="shared" si="5"/>
        <v>3</v>
      </c>
    </row>
    <row r="76" spans="1:20" x14ac:dyDescent="0.35">
      <c r="A76" s="5">
        <v>40</v>
      </c>
      <c r="B76" s="5">
        <v>44</v>
      </c>
      <c r="C76" s="5" t="s">
        <v>66</v>
      </c>
      <c r="D76" s="5" t="s">
        <v>48</v>
      </c>
      <c r="E76" s="5">
        <v>0</v>
      </c>
      <c r="F76" s="5">
        <v>0</v>
      </c>
      <c r="G76" s="5">
        <v>1</v>
      </c>
      <c r="H76" s="5">
        <v>0</v>
      </c>
      <c r="I76" s="5">
        <v>0</v>
      </c>
      <c r="J76" s="5">
        <v>0</v>
      </c>
      <c r="K76" s="5">
        <v>0</v>
      </c>
      <c r="L76" s="6">
        <f t="shared" si="4"/>
        <v>1</v>
      </c>
      <c r="M76" s="5">
        <v>0</v>
      </c>
      <c r="N76" s="5">
        <v>0</v>
      </c>
      <c r="O76" s="5">
        <v>1</v>
      </c>
      <c r="P76" s="5">
        <v>0</v>
      </c>
      <c r="Q76" s="5">
        <v>0</v>
      </c>
      <c r="R76" s="5">
        <v>0</v>
      </c>
      <c r="S76" s="5">
        <v>0</v>
      </c>
      <c r="T76" s="6">
        <f t="shared" si="5"/>
        <v>1</v>
      </c>
    </row>
    <row r="77" spans="1:20" x14ac:dyDescent="0.35">
      <c r="A77" s="5">
        <v>40</v>
      </c>
      <c r="B77" s="5">
        <v>44</v>
      </c>
      <c r="C77" s="5" t="s">
        <v>50</v>
      </c>
      <c r="D77" s="5" t="s">
        <v>51</v>
      </c>
      <c r="E77" s="5">
        <v>0</v>
      </c>
      <c r="F77" s="5">
        <v>0</v>
      </c>
      <c r="G77" s="5">
        <v>1</v>
      </c>
      <c r="H77" s="5">
        <v>0</v>
      </c>
      <c r="I77" s="5">
        <v>0</v>
      </c>
      <c r="J77" s="5">
        <v>0</v>
      </c>
      <c r="K77" s="5">
        <v>1</v>
      </c>
      <c r="L77" s="6">
        <f t="shared" si="4"/>
        <v>2</v>
      </c>
      <c r="M77" s="5">
        <v>1</v>
      </c>
      <c r="N77" s="5">
        <v>1</v>
      </c>
      <c r="O77" s="5">
        <v>1</v>
      </c>
      <c r="P77" s="5">
        <v>0</v>
      </c>
      <c r="Q77" s="5">
        <v>0</v>
      </c>
      <c r="R77" s="5">
        <v>0</v>
      </c>
      <c r="S77" s="5">
        <v>0</v>
      </c>
      <c r="T77" s="6">
        <f t="shared" si="5"/>
        <v>3</v>
      </c>
    </row>
    <row r="78" spans="1:20" x14ac:dyDescent="0.35">
      <c r="A78" s="5">
        <v>40</v>
      </c>
      <c r="B78" s="5">
        <v>44</v>
      </c>
      <c r="C78" s="5" t="s">
        <v>53</v>
      </c>
      <c r="D78" s="5" t="s">
        <v>51</v>
      </c>
      <c r="E78" s="5">
        <v>0</v>
      </c>
      <c r="F78" s="5">
        <v>1</v>
      </c>
      <c r="G78" s="5">
        <v>1</v>
      </c>
      <c r="H78" s="5">
        <v>0</v>
      </c>
      <c r="I78" s="5">
        <v>0</v>
      </c>
      <c r="J78" s="5">
        <v>1</v>
      </c>
      <c r="K78" s="5">
        <v>1</v>
      </c>
      <c r="L78" s="6">
        <f t="shared" si="4"/>
        <v>4</v>
      </c>
      <c r="M78" s="5">
        <v>0</v>
      </c>
      <c r="N78" s="5">
        <v>2</v>
      </c>
      <c r="O78" s="5">
        <v>1</v>
      </c>
      <c r="P78" s="5">
        <v>1</v>
      </c>
      <c r="Q78" s="5">
        <v>0</v>
      </c>
      <c r="R78" s="5">
        <v>0</v>
      </c>
      <c r="S78" s="5">
        <v>0</v>
      </c>
      <c r="T78" s="6">
        <f t="shared" si="5"/>
        <v>4</v>
      </c>
    </row>
    <row r="79" spans="1:20" x14ac:dyDescent="0.35">
      <c r="A79" s="5">
        <v>41</v>
      </c>
      <c r="B79" s="5">
        <v>45</v>
      </c>
      <c r="C79" s="5" t="s">
        <v>36</v>
      </c>
      <c r="D79" s="5" t="s">
        <v>37</v>
      </c>
      <c r="E79" s="5">
        <v>1</v>
      </c>
      <c r="F79" s="5">
        <v>3</v>
      </c>
      <c r="G79" s="5">
        <v>1</v>
      </c>
      <c r="H79" s="5">
        <v>0</v>
      </c>
      <c r="I79" s="5">
        <v>0</v>
      </c>
      <c r="J79" s="5">
        <v>0</v>
      </c>
      <c r="K79" s="5">
        <v>0</v>
      </c>
      <c r="L79" s="6">
        <f t="shared" si="4"/>
        <v>5</v>
      </c>
      <c r="M79" s="5">
        <v>1</v>
      </c>
      <c r="N79" s="5">
        <v>2</v>
      </c>
      <c r="O79" s="5">
        <v>1</v>
      </c>
      <c r="P79" s="5">
        <v>0</v>
      </c>
      <c r="Q79" s="5">
        <v>1</v>
      </c>
      <c r="R79" s="5">
        <v>0</v>
      </c>
      <c r="S79" s="5">
        <v>0</v>
      </c>
      <c r="T79" s="6">
        <f t="shared" si="5"/>
        <v>5</v>
      </c>
    </row>
    <row r="80" spans="1:20" x14ac:dyDescent="0.35">
      <c r="A80" s="5">
        <v>41</v>
      </c>
      <c r="B80" s="5">
        <v>45</v>
      </c>
      <c r="C80" s="5" t="s">
        <v>40</v>
      </c>
      <c r="D80" s="5" t="s">
        <v>41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1</v>
      </c>
      <c r="L80" s="6">
        <f t="shared" si="4"/>
        <v>1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1</v>
      </c>
      <c r="T80" s="6">
        <f t="shared" si="5"/>
        <v>1</v>
      </c>
    </row>
    <row r="81" spans="1:20" x14ac:dyDescent="0.35">
      <c r="A81" s="5">
        <v>41</v>
      </c>
      <c r="B81" s="5">
        <v>45</v>
      </c>
      <c r="C81" s="5" t="s">
        <v>43</v>
      </c>
      <c r="D81" s="5" t="s">
        <v>41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6">
        <f t="shared" si="4"/>
        <v>1</v>
      </c>
      <c r="M81" s="5">
        <v>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6">
        <f t="shared" si="5"/>
        <v>1</v>
      </c>
    </row>
    <row r="82" spans="1:20" x14ac:dyDescent="0.35">
      <c r="A82" s="5">
        <v>41</v>
      </c>
      <c r="B82" s="5">
        <v>45</v>
      </c>
      <c r="C82" s="5" t="s">
        <v>47</v>
      </c>
      <c r="D82" s="5" t="s">
        <v>48</v>
      </c>
      <c r="E82" s="5">
        <v>0</v>
      </c>
      <c r="F82" s="5">
        <v>4</v>
      </c>
      <c r="G82" s="5">
        <v>1</v>
      </c>
      <c r="H82" s="5">
        <v>0</v>
      </c>
      <c r="I82" s="5">
        <v>0</v>
      </c>
      <c r="J82" s="5">
        <v>0</v>
      </c>
      <c r="K82" s="5">
        <v>0</v>
      </c>
      <c r="L82" s="6">
        <f t="shared" si="4"/>
        <v>5</v>
      </c>
      <c r="M82" s="5">
        <v>0</v>
      </c>
      <c r="N82" s="5">
        <v>3</v>
      </c>
      <c r="O82" s="5">
        <v>1</v>
      </c>
      <c r="P82" s="5">
        <v>0</v>
      </c>
      <c r="Q82" s="5">
        <v>0</v>
      </c>
      <c r="R82" s="5">
        <v>0</v>
      </c>
      <c r="S82" s="5">
        <v>0</v>
      </c>
      <c r="T82" s="6">
        <f t="shared" si="5"/>
        <v>4</v>
      </c>
    </row>
    <row r="83" spans="1:20" x14ac:dyDescent="0.35">
      <c r="A83" s="5">
        <v>41</v>
      </c>
      <c r="B83" s="5">
        <v>45</v>
      </c>
      <c r="C83" s="5" t="s">
        <v>66</v>
      </c>
      <c r="D83" s="5" t="s">
        <v>48</v>
      </c>
      <c r="E83" s="5">
        <v>0</v>
      </c>
      <c r="F83" s="5">
        <v>1</v>
      </c>
      <c r="G83" s="5">
        <v>1</v>
      </c>
      <c r="H83" s="5">
        <v>0</v>
      </c>
      <c r="I83" s="5">
        <v>0</v>
      </c>
      <c r="J83" s="5">
        <v>0</v>
      </c>
      <c r="K83" s="5">
        <v>0</v>
      </c>
      <c r="L83" s="6">
        <f t="shared" si="4"/>
        <v>2</v>
      </c>
      <c r="M83" s="5">
        <v>0</v>
      </c>
      <c r="N83" s="5">
        <v>1</v>
      </c>
      <c r="O83" s="5">
        <v>1</v>
      </c>
      <c r="P83" s="5">
        <v>0</v>
      </c>
      <c r="Q83" s="5">
        <v>0</v>
      </c>
      <c r="R83" s="5">
        <v>0</v>
      </c>
      <c r="S83" s="5">
        <v>0</v>
      </c>
      <c r="T83" s="6">
        <f t="shared" si="5"/>
        <v>2</v>
      </c>
    </row>
    <row r="84" spans="1:20" x14ac:dyDescent="0.35">
      <c r="A84" s="5">
        <v>41</v>
      </c>
      <c r="B84" s="5">
        <v>45</v>
      </c>
      <c r="C84" s="5" t="s">
        <v>50</v>
      </c>
      <c r="D84" s="5" t="s">
        <v>51</v>
      </c>
      <c r="E84" s="5">
        <v>1</v>
      </c>
      <c r="F84" s="5">
        <v>3</v>
      </c>
      <c r="G84" s="5">
        <v>1</v>
      </c>
      <c r="H84" s="5">
        <v>0</v>
      </c>
      <c r="I84" s="5">
        <v>0</v>
      </c>
      <c r="J84" s="5">
        <v>0</v>
      </c>
      <c r="K84" s="5">
        <v>0</v>
      </c>
      <c r="L84" s="6">
        <f t="shared" si="4"/>
        <v>5</v>
      </c>
      <c r="M84" s="5">
        <v>1</v>
      </c>
      <c r="N84" s="5">
        <v>2</v>
      </c>
      <c r="O84" s="5">
        <v>1</v>
      </c>
      <c r="P84" s="5">
        <v>0</v>
      </c>
      <c r="Q84" s="5">
        <v>1</v>
      </c>
      <c r="R84" s="5">
        <v>0</v>
      </c>
      <c r="S84" s="5">
        <v>0</v>
      </c>
      <c r="T84" s="6">
        <f t="shared" si="5"/>
        <v>5</v>
      </c>
    </row>
    <row r="85" spans="1:20" x14ac:dyDescent="0.35">
      <c r="A85" s="5">
        <v>41</v>
      </c>
      <c r="B85" s="5">
        <v>45</v>
      </c>
      <c r="C85" s="5" t="s">
        <v>53</v>
      </c>
      <c r="D85" s="5" t="s">
        <v>51</v>
      </c>
      <c r="E85" s="5">
        <v>1</v>
      </c>
      <c r="F85" s="5">
        <v>5</v>
      </c>
      <c r="G85" s="5">
        <v>1</v>
      </c>
      <c r="H85" s="5">
        <v>0</v>
      </c>
      <c r="I85" s="5">
        <v>0</v>
      </c>
      <c r="J85" s="5">
        <v>0</v>
      </c>
      <c r="K85" s="5">
        <v>0</v>
      </c>
      <c r="L85" s="6">
        <f t="shared" si="4"/>
        <v>7</v>
      </c>
      <c r="M85" s="5">
        <v>1</v>
      </c>
      <c r="N85" s="5">
        <v>2</v>
      </c>
      <c r="O85" s="5">
        <v>1</v>
      </c>
      <c r="P85" s="5">
        <v>0</v>
      </c>
      <c r="Q85" s="5">
        <v>1</v>
      </c>
      <c r="R85" s="5">
        <v>0</v>
      </c>
      <c r="S85" s="5">
        <v>0</v>
      </c>
      <c r="T85" s="6">
        <f t="shared" si="5"/>
        <v>5</v>
      </c>
    </row>
    <row r="86" spans="1:20" x14ac:dyDescent="0.35">
      <c r="A86" s="5">
        <v>42</v>
      </c>
      <c r="B86" s="5">
        <v>46</v>
      </c>
      <c r="C86" s="5" t="s">
        <v>36</v>
      </c>
      <c r="D86" s="5" t="s">
        <v>37</v>
      </c>
      <c r="E86" s="5">
        <v>1</v>
      </c>
      <c r="F86" s="5">
        <v>3</v>
      </c>
      <c r="G86" s="5">
        <v>1</v>
      </c>
      <c r="H86" s="5">
        <v>0</v>
      </c>
      <c r="I86" s="5">
        <v>0</v>
      </c>
      <c r="J86" s="5">
        <v>0</v>
      </c>
      <c r="K86" s="5">
        <v>0</v>
      </c>
      <c r="L86" s="6">
        <f t="shared" si="4"/>
        <v>5</v>
      </c>
      <c r="M86" s="5">
        <v>1</v>
      </c>
      <c r="N86" s="5">
        <v>3</v>
      </c>
      <c r="O86" s="5">
        <v>1</v>
      </c>
      <c r="P86" s="5">
        <v>0</v>
      </c>
      <c r="Q86" s="5">
        <v>0</v>
      </c>
      <c r="R86" s="5">
        <v>0</v>
      </c>
      <c r="S86" s="5">
        <v>0</v>
      </c>
      <c r="T86" s="6">
        <f t="shared" si="5"/>
        <v>5</v>
      </c>
    </row>
    <row r="87" spans="1:20" x14ac:dyDescent="0.35">
      <c r="A87" s="5">
        <v>42</v>
      </c>
      <c r="B87" s="5">
        <v>46</v>
      </c>
      <c r="C87" s="5" t="s">
        <v>40</v>
      </c>
      <c r="D87" s="5" t="s">
        <v>41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1</v>
      </c>
      <c r="L87" s="6">
        <f t="shared" si="4"/>
        <v>1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1</v>
      </c>
      <c r="T87" s="6">
        <f t="shared" si="5"/>
        <v>1</v>
      </c>
    </row>
    <row r="88" spans="1:20" x14ac:dyDescent="0.35">
      <c r="A88" s="5">
        <v>42</v>
      </c>
      <c r="B88" s="5">
        <v>46</v>
      </c>
      <c r="C88" s="5" t="s">
        <v>43</v>
      </c>
      <c r="D88" s="5" t="s">
        <v>41</v>
      </c>
      <c r="E88" s="5">
        <v>1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6">
        <f t="shared" si="4"/>
        <v>1</v>
      </c>
      <c r="M88" s="5">
        <v>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6">
        <f t="shared" si="5"/>
        <v>1</v>
      </c>
    </row>
    <row r="89" spans="1:20" x14ac:dyDescent="0.35">
      <c r="A89" s="5">
        <v>42</v>
      </c>
      <c r="B89" s="5">
        <v>46</v>
      </c>
      <c r="C89" s="5" t="s">
        <v>47</v>
      </c>
      <c r="D89" s="5" t="s">
        <v>48</v>
      </c>
      <c r="E89" s="5">
        <v>1</v>
      </c>
      <c r="F89" s="5">
        <v>2</v>
      </c>
      <c r="G89" s="5">
        <v>1</v>
      </c>
      <c r="H89" s="5">
        <v>0</v>
      </c>
      <c r="I89" s="5">
        <v>0</v>
      </c>
      <c r="J89" s="5">
        <v>0</v>
      </c>
      <c r="K89" s="5">
        <v>0</v>
      </c>
      <c r="L89" s="6">
        <f t="shared" si="4"/>
        <v>4</v>
      </c>
      <c r="M89" s="5">
        <v>2</v>
      </c>
      <c r="N89" s="5">
        <v>3</v>
      </c>
      <c r="O89" s="5">
        <v>1</v>
      </c>
      <c r="P89" s="5">
        <v>0</v>
      </c>
      <c r="Q89" s="5">
        <v>0</v>
      </c>
      <c r="R89" s="5">
        <v>0</v>
      </c>
      <c r="S89" s="5">
        <v>0</v>
      </c>
      <c r="T89" s="6">
        <f t="shared" si="5"/>
        <v>6</v>
      </c>
    </row>
    <row r="90" spans="1:20" x14ac:dyDescent="0.35">
      <c r="A90" s="5">
        <v>42</v>
      </c>
      <c r="B90" s="5">
        <v>46</v>
      </c>
      <c r="C90" s="5" t="s">
        <v>66</v>
      </c>
      <c r="D90" s="5" t="s">
        <v>48</v>
      </c>
      <c r="E90" s="5">
        <v>2</v>
      </c>
      <c r="F90" s="5">
        <v>2</v>
      </c>
      <c r="G90" s="5">
        <v>1</v>
      </c>
      <c r="H90" s="5">
        <v>0</v>
      </c>
      <c r="I90" s="5">
        <v>0</v>
      </c>
      <c r="J90" s="5">
        <v>0</v>
      </c>
      <c r="K90" s="5">
        <v>0</v>
      </c>
      <c r="L90" s="6">
        <f t="shared" si="4"/>
        <v>5</v>
      </c>
      <c r="M90" s="5">
        <v>3</v>
      </c>
      <c r="N90" s="5">
        <v>2</v>
      </c>
      <c r="O90" s="5">
        <v>1</v>
      </c>
      <c r="P90" s="5">
        <v>0</v>
      </c>
      <c r="Q90" s="5">
        <v>0</v>
      </c>
      <c r="R90" s="5">
        <v>0</v>
      </c>
      <c r="S90" s="5">
        <v>0</v>
      </c>
      <c r="T90" s="6">
        <f t="shared" si="5"/>
        <v>6</v>
      </c>
    </row>
    <row r="91" spans="1:20" x14ac:dyDescent="0.35">
      <c r="A91" s="5">
        <v>42</v>
      </c>
      <c r="B91" s="5">
        <v>46</v>
      </c>
      <c r="C91" s="5" t="s">
        <v>50</v>
      </c>
      <c r="D91" s="5" t="s">
        <v>51</v>
      </c>
      <c r="E91" s="5">
        <v>1</v>
      </c>
      <c r="F91" s="5">
        <v>3</v>
      </c>
      <c r="G91" s="5">
        <v>1</v>
      </c>
      <c r="H91" s="5">
        <v>0</v>
      </c>
      <c r="I91" s="5">
        <v>0</v>
      </c>
      <c r="J91" s="5">
        <v>0</v>
      </c>
      <c r="K91" s="5">
        <v>0</v>
      </c>
      <c r="L91" s="6">
        <f t="shared" si="4"/>
        <v>5</v>
      </c>
      <c r="M91" s="5">
        <v>2</v>
      </c>
      <c r="N91" s="5">
        <v>3</v>
      </c>
      <c r="O91" s="5">
        <v>1</v>
      </c>
      <c r="P91" s="5">
        <v>0</v>
      </c>
      <c r="Q91" s="5">
        <v>0</v>
      </c>
      <c r="R91" s="5">
        <v>0</v>
      </c>
      <c r="S91" s="5">
        <v>0</v>
      </c>
      <c r="T91" s="6">
        <f t="shared" si="5"/>
        <v>6</v>
      </c>
    </row>
    <row r="92" spans="1:20" x14ac:dyDescent="0.35">
      <c r="A92" s="5">
        <v>42</v>
      </c>
      <c r="B92" s="5">
        <v>46</v>
      </c>
      <c r="C92" s="5" t="s">
        <v>53</v>
      </c>
      <c r="D92" s="5" t="s">
        <v>51</v>
      </c>
      <c r="E92" s="5">
        <v>0</v>
      </c>
      <c r="F92" s="5">
        <v>2</v>
      </c>
      <c r="G92" s="5">
        <v>1</v>
      </c>
      <c r="H92" s="5">
        <v>0</v>
      </c>
      <c r="I92" s="5">
        <v>0</v>
      </c>
      <c r="J92" s="5">
        <v>0</v>
      </c>
      <c r="K92" s="5">
        <v>0</v>
      </c>
      <c r="L92" s="6">
        <f t="shared" si="4"/>
        <v>3</v>
      </c>
      <c r="M92" s="5">
        <v>0</v>
      </c>
      <c r="N92" s="5">
        <v>2</v>
      </c>
      <c r="O92" s="5">
        <v>1</v>
      </c>
      <c r="P92" s="5">
        <v>0</v>
      </c>
      <c r="Q92" s="5">
        <v>0</v>
      </c>
      <c r="R92" s="5">
        <v>0</v>
      </c>
      <c r="S92" s="5">
        <v>0</v>
      </c>
      <c r="T92" s="6">
        <f t="shared" si="5"/>
        <v>3</v>
      </c>
    </row>
    <row r="93" spans="1:20" x14ac:dyDescent="0.35">
      <c r="A93" s="5">
        <v>43</v>
      </c>
      <c r="B93" s="5">
        <v>47</v>
      </c>
      <c r="C93" s="5" t="s">
        <v>36</v>
      </c>
      <c r="D93" s="5" t="s">
        <v>37</v>
      </c>
      <c r="E93" s="5">
        <v>2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1</v>
      </c>
      <c r="L93" s="6">
        <f t="shared" si="4"/>
        <v>3</v>
      </c>
      <c r="M93" s="5">
        <v>4</v>
      </c>
      <c r="N93" s="5">
        <v>1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6">
        <f t="shared" si="5"/>
        <v>5</v>
      </c>
    </row>
    <row r="94" spans="1:20" x14ac:dyDescent="0.35">
      <c r="A94" s="5">
        <v>43</v>
      </c>
      <c r="B94" s="5">
        <v>47</v>
      </c>
      <c r="C94" s="5" t="s">
        <v>40</v>
      </c>
      <c r="D94" s="5" t="s">
        <v>41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1</v>
      </c>
      <c r="L94" s="6">
        <f t="shared" si="4"/>
        <v>1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1</v>
      </c>
      <c r="T94" s="6">
        <f t="shared" si="5"/>
        <v>1</v>
      </c>
    </row>
    <row r="95" spans="1:20" x14ac:dyDescent="0.35">
      <c r="A95" s="5">
        <v>43</v>
      </c>
      <c r="B95" s="5">
        <v>47</v>
      </c>
      <c r="C95" s="5" t="s">
        <v>43</v>
      </c>
      <c r="D95" s="5" t="s">
        <v>41</v>
      </c>
      <c r="E95" s="5">
        <v>1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6">
        <f t="shared" si="4"/>
        <v>1</v>
      </c>
      <c r="M95" s="5">
        <v>1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6">
        <f t="shared" si="5"/>
        <v>1</v>
      </c>
    </row>
    <row r="96" spans="1:20" x14ac:dyDescent="0.35">
      <c r="A96" s="5">
        <v>43</v>
      </c>
      <c r="B96" s="5">
        <v>47</v>
      </c>
      <c r="C96" s="5" t="s">
        <v>47</v>
      </c>
      <c r="D96" s="5" t="s">
        <v>48</v>
      </c>
      <c r="E96" s="5">
        <v>3</v>
      </c>
      <c r="F96" s="5">
        <v>2</v>
      </c>
      <c r="G96" s="5">
        <v>1</v>
      </c>
      <c r="H96" s="5">
        <v>0</v>
      </c>
      <c r="I96" s="5">
        <v>0</v>
      </c>
      <c r="J96" s="5">
        <v>0</v>
      </c>
      <c r="K96" s="5">
        <v>0</v>
      </c>
      <c r="L96" s="6">
        <f t="shared" si="4"/>
        <v>6</v>
      </c>
      <c r="M96" s="5">
        <v>4</v>
      </c>
      <c r="N96" s="5">
        <v>3</v>
      </c>
      <c r="O96" s="5">
        <v>1</v>
      </c>
      <c r="P96" s="5">
        <v>0</v>
      </c>
      <c r="Q96" s="5">
        <v>0</v>
      </c>
      <c r="R96" s="5">
        <v>0</v>
      </c>
      <c r="S96" s="5">
        <v>0</v>
      </c>
      <c r="T96" s="6">
        <f t="shared" si="5"/>
        <v>8</v>
      </c>
    </row>
    <row r="97" spans="1:20" x14ac:dyDescent="0.35">
      <c r="A97" s="5">
        <v>43</v>
      </c>
      <c r="B97" s="5">
        <v>47</v>
      </c>
      <c r="C97" s="5" t="s">
        <v>66</v>
      </c>
      <c r="D97" s="5" t="s">
        <v>48</v>
      </c>
      <c r="E97" s="5">
        <v>2</v>
      </c>
      <c r="F97" s="5">
        <v>0</v>
      </c>
      <c r="G97" s="5">
        <v>1</v>
      </c>
      <c r="H97" s="5">
        <v>0</v>
      </c>
      <c r="I97" s="5">
        <v>0</v>
      </c>
      <c r="J97" s="5">
        <v>0</v>
      </c>
      <c r="K97" s="5">
        <v>0</v>
      </c>
      <c r="L97" s="6">
        <f t="shared" si="4"/>
        <v>3</v>
      </c>
      <c r="M97" s="5">
        <v>2</v>
      </c>
      <c r="N97" s="5">
        <v>0</v>
      </c>
      <c r="O97" s="5">
        <v>1</v>
      </c>
      <c r="P97" s="5">
        <v>0</v>
      </c>
      <c r="Q97" s="5">
        <v>0</v>
      </c>
      <c r="R97" s="5">
        <v>0</v>
      </c>
      <c r="S97" s="5">
        <v>0</v>
      </c>
      <c r="T97" s="6">
        <f t="shared" si="5"/>
        <v>3</v>
      </c>
    </row>
    <row r="98" spans="1:20" x14ac:dyDescent="0.35">
      <c r="A98" s="5">
        <v>43</v>
      </c>
      <c r="B98" s="5">
        <v>47</v>
      </c>
      <c r="C98" s="5" t="s">
        <v>50</v>
      </c>
      <c r="D98" s="5" t="s">
        <v>51</v>
      </c>
      <c r="E98" s="5">
        <v>4</v>
      </c>
      <c r="F98" s="5">
        <v>1</v>
      </c>
      <c r="G98" s="5">
        <v>1</v>
      </c>
      <c r="H98" s="5">
        <v>0</v>
      </c>
      <c r="I98" s="5">
        <v>0</v>
      </c>
      <c r="J98" s="5">
        <v>0</v>
      </c>
      <c r="K98" s="5">
        <v>0</v>
      </c>
      <c r="L98" s="6">
        <f t="shared" ref="L98:L129" si="6">SUM(E98:K98)</f>
        <v>6</v>
      </c>
      <c r="M98" s="5">
        <v>3</v>
      </c>
      <c r="N98" s="5">
        <v>1</v>
      </c>
      <c r="O98" s="5">
        <v>1</v>
      </c>
      <c r="P98" s="5">
        <v>0</v>
      </c>
      <c r="Q98" s="5">
        <v>0</v>
      </c>
      <c r="R98" s="5">
        <v>0</v>
      </c>
      <c r="S98" s="5">
        <v>0</v>
      </c>
      <c r="T98" s="6">
        <f t="shared" ref="T98:T129" si="7">SUM(M98:S98)</f>
        <v>5</v>
      </c>
    </row>
    <row r="99" spans="1:20" x14ac:dyDescent="0.35">
      <c r="A99" s="5">
        <v>43</v>
      </c>
      <c r="B99" s="5">
        <v>47</v>
      </c>
      <c r="C99" s="5" t="s">
        <v>53</v>
      </c>
      <c r="D99" s="5" t="s">
        <v>51</v>
      </c>
      <c r="E99" s="5">
        <v>4</v>
      </c>
      <c r="F99" s="5">
        <v>1</v>
      </c>
      <c r="G99" s="5">
        <v>1</v>
      </c>
      <c r="H99" s="5">
        <v>0</v>
      </c>
      <c r="I99" s="5">
        <v>0</v>
      </c>
      <c r="J99" s="5">
        <v>0</v>
      </c>
      <c r="K99" s="5">
        <v>0</v>
      </c>
      <c r="L99" s="6">
        <f t="shared" si="6"/>
        <v>6</v>
      </c>
      <c r="M99" s="5">
        <v>3</v>
      </c>
      <c r="N99" s="5">
        <v>1</v>
      </c>
      <c r="O99" s="5">
        <v>1</v>
      </c>
      <c r="P99" s="5">
        <v>0</v>
      </c>
      <c r="Q99" s="5">
        <v>0</v>
      </c>
      <c r="R99" s="5">
        <v>0</v>
      </c>
      <c r="S99" s="5">
        <v>0</v>
      </c>
      <c r="T99" s="6">
        <f t="shared" si="7"/>
        <v>5</v>
      </c>
    </row>
    <row r="100" spans="1:20" x14ac:dyDescent="0.35">
      <c r="A100" s="5">
        <v>44</v>
      </c>
      <c r="B100" s="5">
        <v>48</v>
      </c>
      <c r="C100" s="5" t="s">
        <v>36</v>
      </c>
      <c r="D100" s="5" t="s">
        <v>37</v>
      </c>
      <c r="E100" s="5">
        <v>1</v>
      </c>
      <c r="F100" s="5">
        <v>1</v>
      </c>
      <c r="G100" s="5">
        <v>1</v>
      </c>
      <c r="H100" s="5">
        <v>0</v>
      </c>
      <c r="I100" s="5">
        <v>0</v>
      </c>
      <c r="J100" s="5">
        <v>0</v>
      </c>
      <c r="K100" s="5">
        <v>0</v>
      </c>
      <c r="L100" s="6">
        <f t="shared" si="6"/>
        <v>3</v>
      </c>
      <c r="M100" s="5">
        <v>1</v>
      </c>
      <c r="N100" s="5">
        <v>1</v>
      </c>
      <c r="O100" s="5">
        <v>1</v>
      </c>
      <c r="P100" s="5">
        <v>0</v>
      </c>
      <c r="Q100" s="5">
        <v>0</v>
      </c>
      <c r="R100" s="5">
        <v>0</v>
      </c>
      <c r="S100" s="5">
        <v>0</v>
      </c>
      <c r="T100" s="6">
        <f t="shared" si="7"/>
        <v>3</v>
      </c>
    </row>
    <row r="101" spans="1:20" x14ac:dyDescent="0.35">
      <c r="A101" s="5">
        <v>44</v>
      </c>
      <c r="B101" s="5">
        <v>48</v>
      </c>
      <c r="C101" s="5" t="s">
        <v>40</v>
      </c>
      <c r="D101" s="5" t="s">
        <v>41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1</v>
      </c>
      <c r="L101" s="6">
        <f t="shared" si="6"/>
        <v>1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1</v>
      </c>
      <c r="T101" s="6">
        <f t="shared" si="7"/>
        <v>1</v>
      </c>
    </row>
    <row r="102" spans="1:20" x14ac:dyDescent="0.35">
      <c r="A102" s="5">
        <v>44</v>
      </c>
      <c r="B102" s="5">
        <v>48</v>
      </c>
      <c r="C102" s="5" t="s">
        <v>43</v>
      </c>
      <c r="D102" s="5" t="s">
        <v>41</v>
      </c>
      <c r="E102" s="5">
        <v>1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6">
        <f t="shared" si="6"/>
        <v>1</v>
      </c>
      <c r="M102" s="5">
        <v>1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6">
        <f t="shared" si="7"/>
        <v>1</v>
      </c>
    </row>
    <row r="103" spans="1:20" x14ac:dyDescent="0.35">
      <c r="A103" s="5">
        <v>44</v>
      </c>
      <c r="B103" s="5">
        <v>48</v>
      </c>
      <c r="C103" s="5" t="s">
        <v>47</v>
      </c>
      <c r="D103" s="5" t="s">
        <v>48</v>
      </c>
      <c r="E103" s="5">
        <v>1</v>
      </c>
      <c r="F103" s="5">
        <v>0</v>
      </c>
      <c r="G103" s="5">
        <v>1</v>
      </c>
      <c r="H103" s="5">
        <v>0</v>
      </c>
      <c r="I103" s="5">
        <v>0</v>
      </c>
      <c r="J103" s="5">
        <v>0</v>
      </c>
      <c r="K103" s="5">
        <v>0</v>
      </c>
      <c r="L103" s="6">
        <f t="shared" si="6"/>
        <v>2</v>
      </c>
      <c r="M103" s="5">
        <v>1</v>
      </c>
      <c r="N103" s="5">
        <v>0</v>
      </c>
      <c r="O103" s="5">
        <v>1</v>
      </c>
      <c r="P103" s="5">
        <v>0</v>
      </c>
      <c r="Q103" s="5">
        <v>1</v>
      </c>
      <c r="R103" s="5">
        <v>0</v>
      </c>
      <c r="S103" s="5">
        <v>0</v>
      </c>
      <c r="T103" s="6">
        <f t="shared" si="7"/>
        <v>3</v>
      </c>
    </row>
    <row r="104" spans="1:20" x14ac:dyDescent="0.35">
      <c r="A104" s="5">
        <v>44</v>
      </c>
      <c r="B104" s="5">
        <v>48</v>
      </c>
      <c r="C104" s="5" t="s">
        <v>66</v>
      </c>
      <c r="D104" s="5" t="s">
        <v>48</v>
      </c>
      <c r="E104" s="5">
        <v>1</v>
      </c>
      <c r="F104" s="5">
        <v>1</v>
      </c>
      <c r="G104" s="5">
        <v>1</v>
      </c>
      <c r="H104" s="5">
        <v>0</v>
      </c>
      <c r="I104" s="5">
        <v>0</v>
      </c>
      <c r="J104" s="5">
        <v>0</v>
      </c>
      <c r="K104" s="5">
        <v>0</v>
      </c>
      <c r="L104" s="6">
        <f t="shared" si="6"/>
        <v>3</v>
      </c>
      <c r="M104" s="5">
        <v>0</v>
      </c>
      <c r="N104" s="5">
        <v>0</v>
      </c>
      <c r="O104" s="5">
        <v>1</v>
      </c>
      <c r="P104" s="5">
        <v>0</v>
      </c>
      <c r="Q104" s="5">
        <v>1</v>
      </c>
      <c r="R104" s="5">
        <v>0</v>
      </c>
      <c r="S104" s="5">
        <v>1</v>
      </c>
      <c r="T104" s="6">
        <f t="shared" si="7"/>
        <v>3</v>
      </c>
    </row>
    <row r="105" spans="1:20" x14ac:dyDescent="0.35">
      <c r="A105" s="5">
        <v>44</v>
      </c>
      <c r="B105" s="5">
        <v>48</v>
      </c>
      <c r="C105" s="5" t="s">
        <v>50</v>
      </c>
      <c r="D105" s="5" t="s">
        <v>51</v>
      </c>
      <c r="E105" s="5">
        <v>2</v>
      </c>
      <c r="F105" s="5">
        <v>1</v>
      </c>
      <c r="G105" s="5">
        <v>1</v>
      </c>
      <c r="H105" s="5">
        <v>0</v>
      </c>
      <c r="I105" s="5">
        <v>0</v>
      </c>
      <c r="J105" s="5">
        <v>0</v>
      </c>
      <c r="K105" s="5">
        <v>0</v>
      </c>
      <c r="L105" s="6">
        <f t="shared" si="6"/>
        <v>4</v>
      </c>
      <c r="M105" s="5">
        <v>1</v>
      </c>
      <c r="N105" s="5">
        <v>0</v>
      </c>
      <c r="O105" s="5">
        <v>1</v>
      </c>
      <c r="P105" s="5">
        <v>0</v>
      </c>
      <c r="Q105" s="5">
        <v>1</v>
      </c>
      <c r="R105" s="5">
        <v>0</v>
      </c>
      <c r="S105" s="5">
        <v>1</v>
      </c>
      <c r="T105" s="6">
        <f t="shared" si="7"/>
        <v>4</v>
      </c>
    </row>
    <row r="106" spans="1:20" x14ac:dyDescent="0.35">
      <c r="A106" s="5">
        <v>44</v>
      </c>
      <c r="B106" s="5">
        <v>48</v>
      </c>
      <c r="C106" s="5" t="s">
        <v>53</v>
      </c>
      <c r="D106" s="5" t="s">
        <v>51</v>
      </c>
      <c r="E106" s="5">
        <v>1</v>
      </c>
      <c r="F106" s="5">
        <v>1</v>
      </c>
      <c r="G106" s="5">
        <v>1</v>
      </c>
      <c r="H106" s="5">
        <v>0</v>
      </c>
      <c r="I106" s="5">
        <v>0</v>
      </c>
      <c r="J106" s="5">
        <v>0</v>
      </c>
      <c r="K106" s="5">
        <v>0</v>
      </c>
      <c r="L106" s="6">
        <f t="shared" si="6"/>
        <v>3</v>
      </c>
      <c r="M106" s="5">
        <v>1</v>
      </c>
      <c r="N106" s="5">
        <v>1</v>
      </c>
      <c r="O106" s="5">
        <v>1</v>
      </c>
      <c r="P106" s="5">
        <v>0</v>
      </c>
      <c r="Q106" s="5">
        <v>1</v>
      </c>
      <c r="R106" s="5">
        <v>0</v>
      </c>
      <c r="S106" s="5">
        <v>0</v>
      </c>
      <c r="T106" s="6">
        <f t="shared" si="7"/>
        <v>4</v>
      </c>
    </row>
    <row r="107" spans="1:20" x14ac:dyDescent="0.35">
      <c r="A107" s="5">
        <v>45</v>
      </c>
      <c r="B107" s="5">
        <v>49</v>
      </c>
      <c r="C107" s="5" t="s">
        <v>36</v>
      </c>
      <c r="D107" s="5" t="s">
        <v>37</v>
      </c>
      <c r="E107" s="5">
        <v>3</v>
      </c>
      <c r="F107" s="5">
        <v>1</v>
      </c>
      <c r="G107" s="5">
        <v>1</v>
      </c>
      <c r="H107" s="5">
        <v>0</v>
      </c>
      <c r="I107" s="5">
        <v>0</v>
      </c>
      <c r="J107" s="5">
        <v>1</v>
      </c>
      <c r="K107" s="5">
        <v>0</v>
      </c>
      <c r="L107" s="6">
        <f t="shared" si="6"/>
        <v>6</v>
      </c>
      <c r="M107" s="5">
        <v>1</v>
      </c>
      <c r="N107" s="5">
        <v>1</v>
      </c>
      <c r="O107" s="5">
        <v>1</v>
      </c>
      <c r="P107" s="5">
        <v>0</v>
      </c>
      <c r="Q107" s="5">
        <v>1</v>
      </c>
      <c r="R107" s="5">
        <v>0</v>
      </c>
      <c r="S107" s="5">
        <v>0</v>
      </c>
      <c r="T107" s="6">
        <f t="shared" si="7"/>
        <v>4</v>
      </c>
    </row>
    <row r="108" spans="1:20" x14ac:dyDescent="0.35">
      <c r="A108" s="5">
        <v>45</v>
      </c>
      <c r="B108" s="5">
        <v>49</v>
      </c>
      <c r="C108" s="5" t="s">
        <v>40</v>
      </c>
      <c r="D108" s="5" t="s">
        <v>41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1</v>
      </c>
      <c r="L108" s="6">
        <f t="shared" si="6"/>
        <v>1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1</v>
      </c>
      <c r="T108" s="6">
        <f t="shared" si="7"/>
        <v>1</v>
      </c>
    </row>
    <row r="109" spans="1:20" x14ac:dyDescent="0.35">
      <c r="A109" s="5">
        <v>45</v>
      </c>
      <c r="B109" s="5">
        <v>49</v>
      </c>
      <c r="C109" s="5" t="s">
        <v>86</v>
      </c>
      <c r="D109" s="5" t="s">
        <v>41</v>
      </c>
      <c r="E109" s="5">
        <v>0</v>
      </c>
      <c r="F109" s="5">
        <v>0</v>
      </c>
      <c r="G109" s="5">
        <v>0</v>
      </c>
      <c r="H109" s="5">
        <v>0</v>
      </c>
      <c r="I109" s="5">
        <v>1</v>
      </c>
      <c r="J109" s="5">
        <v>0</v>
      </c>
      <c r="K109" s="5">
        <v>0</v>
      </c>
      <c r="L109" s="6">
        <f t="shared" si="6"/>
        <v>1</v>
      </c>
      <c r="M109" s="5">
        <v>0</v>
      </c>
      <c r="N109" s="5">
        <v>0</v>
      </c>
      <c r="O109" s="5">
        <v>0</v>
      </c>
      <c r="P109" s="5">
        <v>0</v>
      </c>
      <c r="Q109" s="5">
        <v>1</v>
      </c>
      <c r="R109" s="5">
        <v>0</v>
      </c>
      <c r="S109" s="5">
        <v>0</v>
      </c>
      <c r="T109" s="6">
        <f t="shared" si="7"/>
        <v>1</v>
      </c>
    </row>
    <row r="110" spans="1:20" x14ac:dyDescent="0.35">
      <c r="A110" s="5">
        <v>45</v>
      </c>
      <c r="B110" s="5">
        <v>49</v>
      </c>
      <c r="C110" s="5" t="s">
        <v>47</v>
      </c>
      <c r="D110" s="5" t="s">
        <v>48</v>
      </c>
      <c r="E110" s="5">
        <v>1</v>
      </c>
      <c r="F110" s="5">
        <v>1</v>
      </c>
      <c r="G110" s="5">
        <v>1</v>
      </c>
      <c r="H110" s="5">
        <v>0</v>
      </c>
      <c r="I110" s="5">
        <v>0</v>
      </c>
      <c r="J110" s="5">
        <v>0</v>
      </c>
      <c r="K110" s="5">
        <v>0</v>
      </c>
      <c r="L110" s="6">
        <f t="shared" si="6"/>
        <v>3</v>
      </c>
      <c r="M110" s="5">
        <v>2</v>
      </c>
      <c r="N110" s="5">
        <v>1</v>
      </c>
      <c r="O110" s="5">
        <v>1</v>
      </c>
      <c r="P110" s="5">
        <v>0</v>
      </c>
      <c r="Q110" s="5">
        <v>1</v>
      </c>
      <c r="R110" s="5">
        <v>0</v>
      </c>
      <c r="S110" s="5">
        <v>0</v>
      </c>
      <c r="T110" s="6">
        <f t="shared" si="7"/>
        <v>5</v>
      </c>
    </row>
    <row r="111" spans="1:20" x14ac:dyDescent="0.35">
      <c r="A111" s="5">
        <v>45</v>
      </c>
      <c r="B111" s="5">
        <v>49</v>
      </c>
      <c r="C111" s="5" t="s">
        <v>66</v>
      </c>
      <c r="D111" s="5" t="s">
        <v>48</v>
      </c>
      <c r="E111" s="5">
        <v>0</v>
      </c>
      <c r="F111" s="5">
        <v>0</v>
      </c>
      <c r="G111" s="5">
        <v>1</v>
      </c>
      <c r="H111" s="5">
        <v>0</v>
      </c>
      <c r="I111" s="5">
        <v>0</v>
      </c>
      <c r="J111" s="5">
        <v>0</v>
      </c>
      <c r="K111" s="5">
        <v>0</v>
      </c>
      <c r="L111" s="6">
        <f t="shared" si="6"/>
        <v>1</v>
      </c>
      <c r="M111" s="5">
        <v>1</v>
      </c>
      <c r="N111" s="5">
        <v>0</v>
      </c>
      <c r="O111" s="5">
        <v>1</v>
      </c>
      <c r="P111" s="5">
        <v>0</v>
      </c>
      <c r="Q111" s="5">
        <v>0</v>
      </c>
      <c r="R111" s="5">
        <v>0</v>
      </c>
      <c r="S111" s="5">
        <v>0</v>
      </c>
      <c r="T111" s="6">
        <f t="shared" si="7"/>
        <v>2</v>
      </c>
    </row>
    <row r="112" spans="1:20" x14ac:dyDescent="0.35">
      <c r="A112" s="5">
        <v>45</v>
      </c>
      <c r="B112" s="5">
        <v>49</v>
      </c>
      <c r="C112" s="5" t="s">
        <v>50</v>
      </c>
      <c r="D112" s="5" t="s">
        <v>51</v>
      </c>
      <c r="E112" s="5">
        <v>1</v>
      </c>
      <c r="F112" s="5">
        <v>1</v>
      </c>
      <c r="G112" s="5">
        <v>1</v>
      </c>
      <c r="H112" s="5">
        <v>0</v>
      </c>
      <c r="I112" s="5">
        <v>0</v>
      </c>
      <c r="J112" s="5">
        <v>0</v>
      </c>
      <c r="K112" s="5">
        <v>0</v>
      </c>
      <c r="L112" s="6">
        <f t="shared" si="6"/>
        <v>3</v>
      </c>
      <c r="M112" s="5">
        <v>2</v>
      </c>
      <c r="N112" s="5">
        <v>1</v>
      </c>
      <c r="O112" s="5">
        <v>1</v>
      </c>
      <c r="P112" s="5">
        <v>0</v>
      </c>
      <c r="Q112" s="5">
        <v>1</v>
      </c>
      <c r="R112" s="5">
        <v>0</v>
      </c>
      <c r="S112" s="5">
        <v>0</v>
      </c>
      <c r="T112" s="6">
        <f t="shared" si="7"/>
        <v>5</v>
      </c>
    </row>
    <row r="113" spans="1:20" x14ac:dyDescent="0.35">
      <c r="A113" s="5">
        <v>45</v>
      </c>
      <c r="B113" s="5">
        <v>49</v>
      </c>
      <c r="C113" s="5" t="s">
        <v>53</v>
      </c>
      <c r="D113" s="5" t="s">
        <v>51</v>
      </c>
      <c r="E113" s="5">
        <v>2</v>
      </c>
      <c r="F113" s="5">
        <v>1</v>
      </c>
      <c r="G113" s="5">
        <v>0</v>
      </c>
      <c r="H113" s="5">
        <v>0</v>
      </c>
      <c r="I113" s="5">
        <v>0</v>
      </c>
      <c r="J113" s="5">
        <v>1</v>
      </c>
      <c r="K113" s="5">
        <v>0</v>
      </c>
      <c r="L113" s="6">
        <f t="shared" si="6"/>
        <v>4</v>
      </c>
      <c r="M113" s="5">
        <v>0</v>
      </c>
      <c r="N113" s="5">
        <v>1</v>
      </c>
      <c r="O113" s="5">
        <v>1</v>
      </c>
      <c r="P113" s="5">
        <v>0</v>
      </c>
      <c r="Q113" s="5">
        <v>1</v>
      </c>
      <c r="R113" s="5">
        <v>0</v>
      </c>
      <c r="S113" s="5">
        <v>0</v>
      </c>
      <c r="T113" s="6">
        <f t="shared" si="7"/>
        <v>3</v>
      </c>
    </row>
    <row r="114" spans="1:20" x14ac:dyDescent="0.35">
      <c r="A114" s="5">
        <v>46</v>
      </c>
      <c r="B114" s="5">
        <v>50</v>
      </c>
      <c r="C114" s="5" t="s">
        <v>36</v>
      </c>
      <c r="D114" s="5" t="s">
        <v>37</v>
      </c>
      <c r="E114" s="5">
        <v>0</v>
      </c>
      <c r="F114" s="5">
        <v>0</v>
      </c>
      <c r="G114" s="5">
        <v>1</v>
      </c>
      <c r="H114" s="5">
        <v>0</v>
      </c>
      <c r="I114" s="5">
        <v>1</v>
      </c>
      <c r="J114" s="5">
        <v>0</v>
      </c>
      <c r="K114" s="5">
        <v>1</v>
      </c>
      <c r="L114" s="6">
        <f t="shared" si="6"/>
        <v>3</v>
      </c>
      <c r="M114" s="5">
        <v>0</v>
      </c>
      <c r="N114" s="5">
        <v>0</v>
      </c>
      <c r="O114" s="5">
        <v>1</v>
      </c>
      <c r="P114" s="5">
        <v>0</v>
      </c>
      <c r="Q114" s="5">
        <v>1</v>
      </c>
      <c r="R114" s="5">
        <v>0</v>
      </c>
      <c r="S114" s="5">
        <v>1</v>
      </c>
      <c r="T114" s="6">
        <f t="shared" si="7"/>
        <v>3</v>
      </c>
    </row>
    <row r="115" spans="1:20" x14ac:dyDescent="0.35">
      <c r="A115" s="5">
        <v>46</v>
      </c>
      <c r="B115" s="5">
        <v>50</v>
      </c>
      <c r="C115" s="5" t="s">
        <v>40</v>
      </c>
      <c r="D115" s="5" t="s">
        <v>41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1</v>
      </c>
      <c r="L115" s="6">
        <f t="shared" si="6"/>
        <v>1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1</v>
      </c>
      <c r="T115" s="6">
        <f t="shared" si="7"/>
        <v>1</v>
      </c>
    </row>
    <row r="116" spans="1:20" x14ac:dyDescent="0.35">
      <c r="A116" s="5">
        <v>46</v>
      </c>
      <c r="B116" s="5">
        <v>50</v>
      </c>
      <c r="C116" s="5" t="s">
        <v>86</v>
      </c>
      <c r="D116" s="5" t="s">
        <v>41</v>
      </c>
      <c r="E116" s="5">
        <v>0</v>
      </c>
      <c r="F116" s="5">
        <v>0</v>
      </c>
      <c r="G116" s="5">
        <v>0</v>
      </c>
      <c r="H116" s="5">
        <v>0</v>
      </c>
      <c r="I116" s="5">
        <v>1</v>
      </c>
      <c r="J116" s="5">
        <v>0</v>
      </c>
      <c r="K116" s="5">
        <v>0</v>
      </c>
      <c r="L116" s="6">
        <f t="shared" si="6"/>
        <v>1</v>
      </c>
      <c r="M116" s="5">
        <v>0</v>
      </c>
      <c r="N116" s="5">
        <v>0</v>
      </c>
      <c r="O116" s="5">
        <v>0</v>
      </c>
      <c r="P116" s="5">
        <v>0</v>
      </c>
      <c r="Q116" s="5">
        <v>1</v>
      </c>
      <c r="R116" s="5">
        <v>0</v>
      </c>
      <c r="S116" s="5">
        <v>0</v>
      </c>
      <c r="T116" s="6">
        <f t="shared" si="7"/>
        <v>1</v>
      </c>
    </row>
    <row r="117" spans="1:20" x14ac:dyDescent="0.35">
      <c r="A117" s="5">
        <v>46</v>
      </c>
      <c r="B117" s="5">
        <v>50</v>
      </c>
      <c r="C117" s="5" t="s">
        <v>47</v>
      </c>
      <c r="D117" s="5" t="s">
        <v>48</v>
      </c>
      <c r="E117" s="5">
        <v>0</v>
      </c>
      <c r="F117" s="5">
        <v>1</v>
      </c>
      <c r="G117" s="5">
        <v>1</v>
      </c>
      <c r="H117" s="5">
        <v>0</v>
      </c>
      <c r="I117" s="5">
        <v>1</v>
      </c>
      <c r="J117" s="5">
        <v>0</v>
      </c>
      <c r="K117" s="5">
        <v>0</v>
      </c>
      <c r="L117" s="6">
        <f t="shared" si="6"/>
        <v>3</v>
      </c>
      <c r="M117" s="5">
        <v>2</v>
      </c>
      <c r="N117" s="5">
        <v>1</v>
      </c>
      <c r="O117" s="5">
        <v>1</v>
      </c>
      <c r="P117" s="5">
        <v>0</v>
      </c>
      <c r="Q117" s="5">
        <v>1</v>
      </c>
      <c r="R117" s="5">
        <v>0</v>
      </c>
      <c r="S117" s="5">
        <v>0</v>
      </c>
      <c r="T117" s="6">
        <f t="shared" si="7"/>
        <v>5</v>
      </c>
    </row>
    <row r="118" spans="1:20" x14ac:dyDescent="0.35">
      <c r="A118" s="5">
        <v>46</v>
      </c>
      <c r="B118" s="5">
        <v>50</v>
      </c>
      <c r="C118" s="5" t="s">
        <v>66</v>
      </c>
      <c r="D118" s="5" t="s">
        <v>48</v>
      </c>
      <c r="E118" s="5">
        <v>0</v>
      </c>
      <c r="F118" s="5">
        <v>0</v>
      </c>
      <c r="G118" s="5">
        <v>1</v>
      </c>
      <c r="H118" s="5">
        <v>0</v>
      </c>
      <c r="I118" s="5">
        <v>0</v>
      </c>
      <c r="J118" s="5">
        <v>0</v>
      </c>
      <c r="K118" s="5">
        <v>1</v>
      </c>
      <c r="L118" s="6">
        <f t="shared" si="6"/>
        <v>2</v>
      </c>
      <c r="M118" s="5">
        <v>1</v>
      </c>
      <c r="N118" s="5">
        <v>0</v>
      </c>
      <c r="O118" s="5">
        <v>1</v>
      </c>
      <c r="P118" s="5">
        <v>0</v>
      </c>
      <c r="Q118" s="5">
        <v>0</v>
      </c>
      <c r="R118" s="5">
        <v>0</v>
      </c>
      <c r="S118" s="5">
        <v>1</v>
      </c>
      <c r="T118" s="6">
        <f t="shared" si="7"/>
        <v>3</v>
      </c>
    </row>
    <row r="119" spans="1:20" x14ac:dyDescent="0.35">
      <c r="A119" s="5">
        <v>46</v>
      </c>
      <c r="B119" s="5">
        <v>50</v>
      </c>
      <c r="C119" s="5" t="s">
        <v>50</v>
      </c>
      <c r="D119" s="5" t="s">
        <v>51</v>
      </c>
      <c r="E119" s="5">
        <v>0</v>
      </c>
      <c r="F119" s="5">
        <v>0</v>
      </c>
      <c r="G119" s="5">
        <v>1</v>
      </c>
      <c r="H119" s="5">
        <v>0</v>
      </c>
      <c r="I119" s="5">
        <v>1</v>
      </c>
      <c r="J119" s="5">
        <v>0</v>
      </c>
      <c r="K119" s="5">
        <v>0</v>
      </c>
      <c r="L119" s="6">
        <f t="shared" si="6"/>
        <v>2</v>
      </c>
      <c r="M119" s="5">
        <v>1</v>
      </c>
      <c r="N119" s="5">
        <v>0</v>
      </c>
      <c r="O119" s="5">
        <v>1</v>
      </c>
      <c r="P119" s="5">
        <v>0</v>
      </c>
      <c r="Q119" s="5">
        <v>1</v>
      </c>
      <c r="R119" s="5">
        <v>0</v>
      </c>
      <c r="S119" s="5">
        <v>0</v>
      </c>
      <c r="T119" s="6">
        <f t="shared" si="7"/>
        <v>3</v>
      </c>
    </row>
    <row r="120" spans="1:20" x14ac:dyDescent="0.35">
      <c r="A120" s="5">
        <v>46</v>
      </c>
      <c r="B120" s="5">
        <v>50</v>
      </c>
      <c r="C120" s="5" t="s">
        <v>53</v>
      </c>
      <c r="D120" s="5" t="s">
        <v>51</v>
      </c>
      <c r="E120" s="5">
        <v>0</v>
      </c>
      <c r="F120" s="5">
        <v>1</v>
      </c>
      <c r="G120" s="5">
        <v>0</v>
      </c>
      <c r="H120" s="5">
        <v>0</v>
      </c>
      <c r="I120" s="5">
        <v>1</v>
      </c>
      <c r="J120" s="5">
        <v>0</v>
      </c>
      <c r="K120" s="5">
        <v>1</v>
      </c>
      <c r="L120" s="6">
        <f t="shared" si="6"/>
        <v>3</v>
      </c>
      <c r="M120" s="5">
        <v>0</v>
      </c>
      <c r="N120" s="5">
        <v>0</v>
      </c>
      <c r="O120" s="5">
        <v>1</v>
      </c>
      <c r="P120" s="5">
        <v>0</v>
      </c>
      <c r="Q120" s="5">
        <v>1</v>
      </c>
      <c r="R120" s="5">
        <v>0</v>
      </c>
      <c r="S120" s="5">
        <v>1</v>
      </c>
      <c r="T120" s="6">
        <f t="shared" si="7"/>
        <v>3</v>
      </c>
    </row>
    <row r="121" spans="1:20" x14ac:dyDescent="0.35">
      <c r="A121" s="5">
        <v>47</v>
      </c>
      <c r="B121" s="5">
        <v>51</v>
      </c>
      <c r="C121" s="5" t="s">
        <v>36</v>
      </c>
      <c r="D121" s="5" t="s">
        <v>37</v>
      </c>
      <c r="E121" s="5">
        <v>2</v>
      </c>
      <c r="F121" s="5">
        <v>1</v>
      </c>
      <c r="G121" s="5">
        <v>1</v>
      </c>
      <c r="H121" s="5">
        <v>0</v>
      </c>
      <c r="I121" s="5">
        <v>0</v>
      </c>
      <c r="J121" s="5">
        <v>0</v>
      </c>
      <c r="K121" s="5">
        <v>0</v>
      </c>
      <c r="L121" s="6">
        <f t="shared" si="6"/>
        <v>4</v>
      </c>
      <c r="M121" s="5">
        <v>1</v>
      </c>
      <c r="N121" s="5">
        <v>1</v>
      </c>
      <c r="O121" s="5">
        <v>1</v>
      </c>
      <c r="P121" s="5">
        <v>0</v>
      </c>
      <c r="Q121" s="5">
        <v>1</v>
      </c>
      <c r="R121" s="5">
        <v>0</v>
      </c>
      <c r="S121" s="5">
        <v>0</v>
      </c>
      <c r="T121" s="6">
        <f t="shared" si="7"/>
        <v>4</v>
      </c>
    </row>
    <row r="122" spans="1:20" x14ac:dyDescent="0.35">
      <c r="A122" s="5">
        <v>47</v>
      </c>
      <c r="B122" s="5">
        <v>51</v>
      </c>
      <c r="C122" s="5" t="s">
        <v>43</v>
      </c>
      <c r="D122" s="5" t="s">
        <v>41</v>
      </c>
      <c r="E122" s="5">
        <v>1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6">
        <f t="shared" si="6"/>
        <v>1</v>
      </c>
      <c r="M122" s="5">
        <v>1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6">
        <f t="shared" si="7"/>
        <v>1</v>
      </c>
    </row>
    <row r="123" spans="1:20" x14ac:dyDescent="0.35">
      <c r="A123" s="5">
        <v>47</v>
      </c>
      <c r="B123" s="5">
        <v>51</v>
      </c>
      <c r="C123" s="5" t="s">
        <v>86</v>
      </c>
      <c r="D123" s="5" t="s">
        <v>41</v>
      </c>
      <c r="E123" s="5">
        <v>0</v>
      </c>
      <c r="F123" s="5">
        <v>0</v>
      </c>
      <c r="G123" s="5">
        <v>0</v>
      </c>
      <c r="H123" s="5">
        <v>0</v>
      </c>
      <c r="I123" s="5">
        <v>1</v>
      </c>
      <c r="J123" s="5">
        <v>0</v>
      </c>
      <c r="K123" s="5">
        <v>0</v>
      </c>
      <c r="L123" s="6">
        <f t="shared" si="6"/>
        <v>1</v>
      </c>
      <c r="M123" s="5">
        <v>0</v>
      </c>
      <c r="N123" s="5">
        <v>0</v>
      </c>
      <c r="O123" s="5">
        <v>0</v>
      </c>
      <c r="P123" s="5">
        <v>0</v>
      </c>
      <c r="Q123" s="5">
        <v>1</v>
      </c>
      <c r="R123" s="5">
        <v>0</v>
      </c>
      <c r="S123" s="5">
        <v>0</v>
      </c>
      <c r="T123" s="6">
        <f t="shared" si="7"/>
        <v>1</v>
      </c>
    </row>
    <row r="124" spans="1:20" x14ac:dyDescent="0.35">
      <c r="A124" s="5">
        <v>47</v>
      </c>
      <c r="B124" s="5">
        <v>51</v>
      </c>
      <c r="C124" s="5" t="s">
        <v>47</v>
      </c>
      <c r="D124" s="5" t="s">
        <v>48</v>
      </c>
      <c r="E124" s="5">
        <v>1</v>
      </c>
      <c r="F124" s="5">
        <v>1</v>
      </c>
      <c r="G124" s="5">
        <v>1</v>
      </c>
      <c r="H124" s="5">
        <v>0</v>
      </c>
      <c r="I124" s="5">
        <v>0</v>
      </c>
      <c r="J124" s="5">
        <v>0</v>
      </c>
      <c r="K124" s="5">
        <v>0</v>
      </c>
      <c r="L124" s="6">
        <f t="shared" si="6"/>
        <v>3</v>
      </c>
      <c r="M124" s="5">
        <v>2</v>
      </c>
      <c r="N124" s="5">
        <v>1</v>
      </c>
      <c r="O124" s="5">
        <v>1</v>
      </c>
      <c r="P124" s="5">
        <v>0</v>
      </c>
      <c r="Q124" s="5">
        <v>1</v>
      </c>
      <c r="R124" s="5">
        <v>0</v>
      </c>
      <c r="S124" s="5">
        <v>0</v>
      </c>
      <c r="T124" s="6">
        <f t="shared" si="7"/>
        <v>5</v>
      </c>
    </row>
    <row r="125" spans="1:20" x14ac:dyDescent="0.35">
      <c r="A125" s="5">
        <v>47</v>
      </c>
      <c r="B125" s="5">
        <v>51</v>
      </c>
      <c r="C125" s="5" t="s">
        <v>66</v>
      </c>
      <c r="D125" s="5" t="s">
        <v>48</v>
      </c>
      <c r="E125" s="5">
        <v>0</v>
      </c>
      <c r="F125" s="5">
        <v>1</v>
      </c>
      <c r="G125" s="5">
        <v>1</v>
      </c>
      <c r="H125" s="5">
        <v>0</v>
      </c>
      <c r="I125" s="5">
        <v>0</v>
      </c>
      <c r="J125" s="5">
        <v>0</v>
      </c>
      <c r="K125" s="5">
        <v>0</v>
      </c>
      <c r="L125" s="6">
        <f t="shared" si="6"/>
        <v>2</v>
      </c>
      <c r="M125" s="5">
        <v>2</v>
      </c>
      <c r="N125" s="5">
        <v>1</v>
      </c>
      <c r="O125" s="5">
        <v>1</v>
      </c>
      <c r="P125" s="5">
        <v>0</v>
      </c>
      <c r="Q125" s="5">
        <v>0</v>
      </c>
      <c r="R125" s="5">
        <v>0</v>
      </c>
      <c r="S125" s="5">
        <v>0</v>
      </c>
      <c r="T125" s="6">
        <f t="shared" si="7"/>
        <v>4</v>
      </c>
    </row>
    <row r="126" spans="1:20" x14ac:dyDescent="0.35">
      <c r="A126" s="5">
        <v>47</v>
      </c>
      <c r="B126" s="5">
        <v>51</v>
      </c>
      <c r="C126" s="5" t="s">
        <v>50</v>
      </c>
      <c r="D126" s="5" t="s">
        <v>51</v>
      </c>
      <c r="E126" s="5">
        <v>1</v>
      </c>
      <c r="F126" s="5">
        <v>0</v>
      </c>
      <c r="G126" s="5">
        <v>1</v>
      </c>
      <c r="H126" s="5">
        <v>0</v>
      </c>
      <c r="I126" s="5">
        <v>0</v>
      </c>
      <c r="J126" s="5">
        <v>0</v>
      </c>
      <c r="K126" s="5">
        <v>1</v>
      </c>
      <c r="L126" s="6">
        <f t="shared" si="6"/>
        <v>3</v>
      </c>
      <c r="M126" s="5">
        <v>1</v>
      </c>
      <c r="N126" s="5">
        <v>0</v>
      </c>
      <c r="O126" s="5">
        <v>1</v>
      </c>
      <c r="P126" s="5">
        <v>0</v>
      </c>
      <c r="Q126" s="5">
        <v>1</v>
      </c>
      <c r="R126" s="5">
        <v>0</v>
      </c>
      <c r="S126" s="5">
        <v>1</v>
      </c>
      <c r="T126" s="6">
        <f t="shared" si="7"/>
        <v>4</v>
      </c>
    </row>
    <row r="127" spans="1:20" x14ac:dyDescent="0.35">
      <c r="A127" s="5">
        <v>47</v>
      </c>
      <c r="B127" s="5">
        <v>51</v>
      </c>
      <c r="C127" s="5" t="s">
        <v>53</v>
      </c>
      <c r="D127" s="5" t="s">
        <v>51</v>
      </c>
      <c r="E127" s="5">
        <v>2</v>
      </c>
      <c r="F127" s="5">
        <v>1</v>
      </c>
      <c r="G127" s="5">
        <v>1</v>
      </c>
      <c r="H127" s="5">
        <v>0</v>
      </c>
      <c r="I127" s="5">
        <v>0</v>
      </c>
      <c r="J127" s="5">
        <v>0</v>
      </c>
      <c r="K127" s="5">
        <v>0</v>
      </c>
      <c r="L127" s="6">
        <f t="shared" si="6"/>
        <v>4</v>
      </c>
      <c r="M127" s="5">
        <v>1</v>
      </c>
      <c r="N127" s="5">
        <v>1</v>
      </c>
      <c r="O127" s="5">
        <v>1</v>
      </c>
      <c r="P127" s="5">
        <v>0</v>
      </c>
      <c r="Q127" s="5">
        <v>2</v>
      </c>
      <c r="R127" s="5">
        <v>0</v>
      </c>
      <c r="S127" s="5">
        <v>0</v>
      </c>
      <c r="T127" s="6">
        <f t="shared" si="7"/>
        <v>5</v>
      </c>
    </row>
  </sheetData>
  <autoFilter ref="A1:T127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showGridLines="0" tabSelected="1" topLeftCell="A19" zoomScaleNormal="100" workbookViewId="0"/>
  </sheetViews>
  <sheetFormatPr defaultColWidth="8.6328125" defaultRowHeight="14.5" x14ac:dyDescent="0.35"/>
  <cols>
    <col min="1" max="1" width="52" customWidth="1"/>
    <col min="2" max="3" width="16" customWidth="1"/>
    <col min="4" max="4" width="18" customWidth="1"/>
    <col min="5" max="5" width="12" customWidth="1"/>
  </cols>
  <sheetData>
    <row r="1" spans="1:5" ht="16.5" x14ac:dyDescent="0.35">
      <c r="A1" s="7" t="s">
        <v>189</v>
      </c>
    </row>
    <row r="2" spans="1:5" x14ac:dyDescent="0.35">
      <c r="A2" s="5" t="s">
        <v>190</v>
      </c>
    </row>
    <row r="4" spans="1:5" x14ac:dyDescent="0.35">
      <c r="A4" s="4" t="s">
        <v>191</v>
      </c>
      <c r="B4" s="4" t="s">
        <v>192</v>
      </c>
    </row>
    <row r="5" spans="1:5" x14ac:dyDescent="0.35">
      <c r="A5" s="5" t="s">
        <v>193</v>
      </c>
      <c r="B5" s="8">
        <f>SUMPRODUCT(ISNUMBER(Rater_codes!$L$2:$L$127)*ISNUMBER(Rater_codes!$T$2:$T$127))</f>
        <v>126</v>
      </c>
    </row>
    <row r="6" spans="1:5" x14ac:dyDescent="0.35">
      <c r="A6" s="5" t="s">
        <v>194</v>
      </c>
      <c r="B6" s="9">
        <f>AVERAGE(Rater_codes!$L$2:$L$127)</f>
        <v>2.2936507936507935</v>
      </c>
    </row>
    <row r="7" spans="1:5" x14ac:dyDescent="0.35">
      <c r="A7" s="5" t="s">
        <v>195</v>
      </c>
      <c r="B7" s="9">
        <f>AVERAGE(Rater_codes!$T$2:$T$127)</f>
        <v>2.7619047619047619</v>
      </c>
    </row>
    <row r="8" spans="1:5" x14ac:dyDescent="0.35">
      <c r="A8" s="5" t="s">
        <v>196</v>
      </c>
      <c r="B8" s="10">
        <f>SUMPRODUCT(--(Rater_codes!$L$2:$L$127=Rater_codes!$T$2:$T$127))/$B$5</f>
        <v>0.5</v>
      </c>
    </row>
    <row r="9" spans="1:5" x14ac:dyDescent="0.35">
      <c r="A9" s="5" t="s">
        <v>197</v>
      </c>
      <c r="B9" s="10">
        <f>SUMPRODUCT(--(ABS(Rater_codes!$L$2:$L$127-Rater_codes!$T$2:$T$127)&lt;=1))/$B$5</f>
        <v>0.84920634920634919</v>
      </c>
    </row>
    <row r="10" spans="1:5" x14ac:dyDescent="0.35">
      <c r="A10" s="5" t="s">
        <v>198</v>
      </c>
      <c r="B10" s="9">
        <f>SUMPRODUCT((COUNTIF(Rater_codes!$L$2:$L$127,"&lt;"&amp;Rater_codes!$L$2:$L$127)+(COUNTIF(Rater_codes!$L$2:$L$127,Rater_codes!$L$2:$L$127)+1)/2-($B$5+1)/2)*(COUNTIF(Rater_codes!$T$2:$T$127,"&lt;"&amp;Rater_codes!$T$2:$T$127)+(COUNTIF(Rater_codes!$T$2:$T$127,Rater_codes!$T$2:$T$127)+1)/2-($B$5+1)/2))/SQRT(SUMPRODUCT((COUNTIF(Rater_codes!$L$2:$L$127,"&lt;"&amp;Rater_codes!$L$2:$L$127)+(COUNTIF(Rater_codes!$L$2:$L$127,Rater_codes!$L$2:$L$127)+1)/2-($B$5+1)/2)^2)*SUMPRODUCT((COUNTIF(Rater_codes!$T$2:$T$127,"&lt;"&amp;Rater_codes!$T$2:$T$127)+(COUNTIF(Rater_codes!$T$2:$T$127,Rater_codes!$T$2:$T$127)+1)/2-($B$5+1)/2)^2))</f>
        <v>0.86611450941687085</v>
      </c>
    </row>
    <row r="11" spans="1:5" x14ac:dyDescent="0.35">
      <c r="A11" s="5" t="s">
        <v>199</v>
      </c>
      <c r="B11" s="9">
        <f>B35</f>
        <v>0.77883065308850641</v>
      </c>
    </row>
    <row r="12" spans="1:5" x14ac:dyDescent="0.35">
      <c r="A12" s="5" t="s">
        <v>200</v>
      </c>
      <c r="B12" s="9">
        <f>B36</f>
        <v>0.81455183474291604</v>
      </c>
    </row>
    <row r="14" spans="1:5" ht="26" x14ac:dyDescent="0.35">
      <c r="A14" s="4" t="s">
        <v>201</v>
      </c>
      <c r="B14" s="4" t="s">
        <v>202</v>
      </c>
      <c r="C14" s="4" t="s">
        <v>203</v>
      </c>
      <c r="D14" s="4" t="s">
        <v>204</v>
      </c>
      <c r="E14" s="4" t="s">
        <v>205</v>
      </c>
    </row>
    <row r="15" spans="1:5" x14ac:dyDescent="0.35">
      <c r="A15" s="5" t="s">
        <v>29</v>
      </c>
      <c r="B15" s="5">
        <f>SUM(Rater_codes!$E$2:$E$127)</f>
        <v>60</v>
      </c>
      <c r="C15" s="5">
        <f>SUM(Rater_codes!$M$2:$M$127)</f>
        <v>101</v>
      </c>
      <c r="D15" s="10">
        <f>SUMPRODUCT(--((Rater_codes!$E$2:$E$127&gt;0)=(Rater_codes!$M$2:$M$127&gt;0)))/$B$5</f>
        <v>0.69841269841269837</v>
      </c>
      <c r="E15" s="9">
        <f>(D15-((SUMPRODUCT(--(Rater_codes!$E$2:$E$127&gt;0))/$B$5)*(SUMPRODUCT(--(Rater_codes!$M$2:$M$127&gt;0))/$B$5)+(1-(SUMPRODUCT(--(Rater_codes!$E$2:$E$127&gt;0))/$B$5))*(1-(SUMPRODUCT(--(Rater_codes!$M$2:$M$127&gt;0))/$B$5))))/(1-((SUMPRODUCT(--(Rater_codes!$E$2:$E$127&gt;0))/$B$5)*(SUMPRODUCT(--(Rater_codes!$M$2:$M$127&gt;0))/$B$5)+(1-(SUMPRODUCT(--(Rater_codes!$E$2:$E$127&gt;0))/$B$5))*(1-(SUMPRODUCT(--(Rater_codes!$M$2:$M$127&gt;0))/$B$5))))</f>
        <v>0.43564356435643548</v>
      </c>
    </row>
    <row r="16" spans="1:5" x14ac:dyDescent="0.35">
      <c r="A16" s="5" t="s">
        <v>30</v>
      </c>
      <c r="B16" s="5">
        <f>SUM(Rater_codes!$F$2:$F$127)</f>
        <v>84</v>
      </c>
      <c r="C16" s="5">
        <f>SUM(Rater_codes!$N$2:$N$127)</f>
        <v>77</v>
      </c>
      <c r="D16" s="10">
        <f>SUMPRODUCT(--((Rater_codes!$F$2:$F$127&gt;0)=(Rater_codes!$N$2:$N$127&gt;0)))/$B$5</f>
        <v>0.88888888888888884</v>
      </c>
      <c r="E16" s="9">
        <f>(D16-((SUMPRODUCT(--(Rater_codes!$F$2:$F$127&gt;0))/$B$5)*(SUMPRODUCT(--(Rater_codes!$N$2:$N$127&gt;0))/$B$5)+(1-(SUMPRODUCT(--(Rater_codes!$F$2:$F$127&gt;0))/$B$5))*(1-(SUMPRODUCT(--(Rater_codes!$N$2:$N$127&gt;0))/$B$5))))/(1-((SUMPRODUCT(--(Rater_codes!$F$2:$F$127&gt;0))/$B$5)*(SUMPRODUCT(--(Rater_codes!$N$2:$N$127&gt;0))/$B$5)+(1-(SUMPRODUCT(--(Rater_codes!$F$2:$F$127&gt;0))/$B$5))*(1-(SUMPRODUCT(--(Rater_codes!$N$2:$N$127&gt;0))/$B$5))))</f>
        <v>0.76965265082266898</v>
      </c>
    </row>
    <row r="17" spans="1:5" x14ac:dyDescent="0.35">
      <c r="A17" s="5" t="s">
        <v>31</v>
      </c>
      <c r="B17" s="5">
        <f>SUM(Rater_codes!$G$2:$G$127)</f>
        <v>84</v>
      </c>
      <c r="C17" s="5">
        <f>SUM(Rater_codes!$O$2:$O$127)</f>
        <v>86</v>
      </c>
      <c r="D17" s="10">
        <f>SUMPRODUCT(--((Rater_codes!$G$2:$G$127&gt;0)=(Rater_codes!$O$2:$O$127&gt;0)))/$B$5</f>
        <v>0.95238095238095233</v>
      </c>
      <c r="E17" s="9">
        <f>(D17-((SUMPRODUCT(--(Rater_codes!$G$2:$G$127&gt;0))/$B$5)*(SUMPRODUCT(--(Rater_codes!$O$2:$O$127&gt;0))/$B$5)+(1-(SUMPRODUCT(--(Rater_codes!$G$2:$G$127&gt;0))/$B$5))*(1-(SUMPRODUCT(--(Rater_codes!$O$2:$O$127&gt;0))/$B$5))))/(1-((SUMPRODUCT(--(Rater_codes!$G$2:$G$127&gt;0))/$B$5)*(SUMPRODUCT(--(Rater_codes!$O$2:$O$127&gt;0))/$B$5)+(1-(SUMPRODUCT(--(Rater_codes!$G$2:$G$127&gt;0))/$B$5))*(1-(SUMPRODUCT(--(Rater_codes!$O$2:$O$127&gt;0))/$B$5))))</f>
        <v>0.89156626506024084</v>
      </c>
    </row>
    <row r="18" spans="1:5" x14ac:dyDescent="0.35">
      <c r="A18" s="5" t="s">
        <v>32</v>
      </c>
      <c r="B18" s="5">
        <f>SUM(Rater_codes!$H$2:$H$127)</f>
        <v>6</v>
      </c>
      <c r="C18" s="5">
        <f>SUM(Rater_codes!$P$2:$P$127)</f>
        <v>8</v>
      </c>
      <c r="D18" s="10">
        <f>SUMPRODUCT(--((Rater_codes!$H$2:$H$127&gt;0)=(Rater_codes!$P$2:$P$127&gt;0)))/$B$5</f>
        <v>0.98412698412698407</v>
      </c>
      <c r="E18" s="9">
        <f>(D18-((SUMPRODUCT(--(Rater_codes!$H$2:$H$127&gt;0))/$B$5)*(SUMPRODUCT(--(Rater_codes!$P$2:$P$127&gt;0))/$B$5)+(1-(SUMPRODUCT(--(Rater_codes!$H$2:$H$127&gt;0))/$B$5))*(1-(SUMPRODUCT(--(Rater_codes!$P$2:$P$127&gt;0))/$B$5))))/(1-((SUMPRODUCT(--(Rater_codes!$H$2:$H$127&gt;0))/$B$5)*(SUMPRODUCT(--(Rater_codes!$P$2:$P$127&gt;0))/$B$5)+(1-(SUMPRODUCT(--(Rater_codes!$H$2:$H$127&gt;0))/$B$5))*(1-(SUMPRODUCT(--(Rater_codes!$P$2:$P$127&gt;0))/$B$5))))</f>
        <v>0.84892086330935201</v>
      </c>
    </row>
    <row r="19" spans="1:5" x14ac:dyDescent="0.35">
      <c r="A19" s="5" t="s">
        <v>33</v>
      </c>
      <c r="B19" s="5">
        <f>SUM(Rater_codes!$I$2:$I$127)</f>
        <v>18</v>
      </c>
      <c r="C19" s="5">
        <f>SUM(Rater_codes!$Q$2:$Q$127)</f>
        <v>36</v>
      </c>
      <c r="D19" s="10">
        <f>SUMPRODUCT(--((Rater_codes!$I$2:$I$127&gt;0)=(Rater_codes!$Q$2:$Q$127&gt;0)))/$B$5</f>
        <v>0.84126984126984128</v>
      </c>
      <c r="E19" s="9">
        <f>(D19-((SUMPRODUCT(--(Rater_codes!$I$2:$I$127&gt;0))/$B$5)*(SUMPRODUCT(--(Rater_codes!$Q$2:$Q$127&gt;0))/$B$5)+(1-(SUMPRODUCT(--(Rater_codes!$I$2:$I$127&gt;0))/$B$5))*(1-(SUMPRODUCT(--(Rater_codes!$Q$2:$Q$127&gt;0))/$B$5))))/(1-((SUMPRODUCT(--(Rater_codes!$I$2:$I$127&gt;0))/$B$5)*(SUMPRODUCT(--(Rater_codes!$Q$2:$Q$127&gt;0))/$B$5)+(1-(SUMPRODUCT(--(Rater_codes!$I$2:$I$127&gt;0))/$B$5))*(1-(SUMPRODUCT(--(Rater_codes!$Q$2:$Q$127&gt;0))/$B$5))))</f>
        <v>0.53002610966057428</v>
      </c>
    </row>
    <row r="20" spans="1:5" x14ac:dyDescent="0.35">
      <c r="A20" s="5" t="s">
        <v>34</v>
      </c>
      <c r="B20" s="5">
        <f>SUM(Rater_codes!$J$2:$J$127)</f>
        <v>9</v>
      </c>
      <c r="C20" s="5">
        <f>SUM(Rater_codes!$R$2:$R$127)</f>
        <v>10</v>
      </c>
      <c r="D20" s="10">
        <f>SUMPRODUCT(--((Rater_codes!$J$2:$J$127&gt;0)=(Rater_codes!$R$2:$R$127&gt;0)))/$B$5</f>
        <v>0.94444444444444442</v>
      </c>
      <c r="E20" s="9">
        <f>(D20-((SUMPRODUCT(--(Rater_codes!$J$2:$J$127&gt;0))/$B$5)*(SUMPRODUCT(--(Rater_codes!$R$2:$R$127&gt;0))/$B$5)+(1-(SUMPRODUCT(--(Rater_codes!$J$2:$J$127&gt;0))/$B$5))*(1-(SUMPRODUCT(--(Rater_codes!$R$2:$R$127&gt;0))/$B$5))))/(1-((SUMPRODUCT(--(Rater_codes!$J$2:$J$127&gt;0))/$B$5)*(SUMPRODUCT(--(Rater_codes!$R$2:$R$127&gt;0))/$B$5)+(1-(SUMPRODUCT(--(Rater_codes!$J$2:$J$127&gt;0))/$B$5))*(1-(SUMPRODUCT(--(Rater_codes!$R$2:$R$127&gt;0))/$B$5))))</f>
        <v>0.60162601626016188</v>
      </c>
    </row>
    <row r="21" spans="1:5" x14ac:dyDescent="0.35">
      <c r="A21" s="5" t="s">
        <v>35</v>
      </c>
      <c r="B21" s="5">
        <f>SUM(Rater_codes!$K$2:$K$127)</f>
        <v>28</v>
      </c>
      <c r="C21" s="5">
        <f>SUM(Rater_codes!$S$2:$S$127)</f>
        <v>30</v>
      </c>
      <c r="D21" s="10">
        <f>SUMPRODUCT(--((Rater_codes!$K$2:$K$127&gt;0)=(Rater_codes!$S$2:$S$127&gt;0)))/$B$5</f>
        <v>0.94444444444444442</v>
      </c>
      <c r="E21" s="9">
        <f>(D21-((SUMPRODUCT(--(Rater_codes!$K$2:$K$127&gt;0))/$B$5)*(SUMPRODUCT(--(Rater_codes!$S$2:$S$127&gt;0))/$B$5)+(1-(SUMPRODUCT(--(Rater_codes!$K$2:$K$127&gt;0))/$B$5))*(1-(SUMPRODUCT(--(Rater_codes!$S$2:$S$127&gt;0))/$B$5))))/(1-((SUMPRODUCT(--(Rater_codes!$K$2:$K$127&gt;0))/$B$5)*(SUMPRODUCT(--(Rater_codes!$S$2:$S$127&gt;0))/$B$5)+(1-(SUMPRODUCT(--(Rater_codes!$K$2:$K$127&gt;0))/$B$5))*(1-(SUMPRODUCT(--(Rater_codes!$S$2:$S$127&gt;0))/$B$5))))</f>
        <v>0.83720930232558133</v>
      </c>
    </row>
    <row r="22" spans="1:5" x14ac:dyDescent="0.35">
      <c r="A22" s="11" t="s">
        <v>206</v>
      </c>
    </row>
    <row r="24" spans="1:5" ht="26" x14ac:dyDescent="0.35">
      <c r="A24" s="4" t="s">
        <v>207</v>
      </c>
      <c r="B24" s="4" t="s">
        <v>208</v>
      </c>
      <c r="C24" s="4" t="s">
        <v>209</v>
      </c>
      <c r="D24" s="4" t="s">
        <v>210</v>
      </c>
    </row>
    <row r="25" spans="1:5" x14ac:dyDescent="0.35">
      <c r="A25" s="5" t="s">
        <v>211</v>
      </c>
      <c r="B25" s="12">
        <f>AVERAGE(Rater_codes!$L$2:$L$127)</f>
        <v>2.2936507936507935</v>
      </c>
      <c r="C25" s="12">
        <f>AVERAGE(Consensus!$M$2:$M$127)</f>
        <v>2.2619047619047619</v>
      </c>
      <c r="D25" s="12">
        <f>AVERAGE(Consensus!$M$2:$M$127)</f>
        <v>2.2619047619047619</v>
      </c>
    </row>
    <row r="26" spans="1:5" x14ac:dyDescent="0.35">
      <c r="A26" s="5" t="s">
        <v>212</v>
      </c>
      <c r="B26" s="12">
        <f>AVERAGE(Rater_codes!$T$2:$T$127)</f>
        <v>2.7619047619047619</v>
      </c>
      <c r="C26" s="12">
        <f>AVERAGE(Rater_codes!$L$2:$L$127)</f>
        <v>2.2936507936507935</v>
      </c>
      <c r="D26" s="12">
        <f>AVERAGE(Rater_codes!$T$2:$T$127)</f>
        <v>2.7619047619047619</v>
      </c>
    </row>
    <row r="27" spans="1:5" x14ac:dyDescent="0.35">
      <c r="A27" s="5" t="s">
        <v>213</v>
      </c>
      <c r="B27" s="12">
        <f>(B25+B26)/2</f>
        <v>2.5277777777777777</v>
      </c>
      <c r="C27" s="12">
        <f>(C25+C26)/2</f>
        <v>2.2777777777777777</v>
      </c>
      <c r="D27" s="12">
        <f>(D25+D26)/2</f>
        <v>2.5119047619047619</v>
      </c>
    </row>
    <row r="28" spans="1:5" x14ac:dyDescent="0.35">
      <c r="A28" s="5" t="s">
        <v>214</v>
      </c>
      <c r="B28" s="12">
        <f>2*SUMPRODUCT(((Rater_codes!$L$2:$L$127+Rater_codes!$T$2:$T$127)/2-B27)^2)</f>
        <v>525.30555555555566</v>
      </c>
      <c r="C28" s="12">
        <f>2*SUMPRODUCT(((Consensus!$M$2:$M$127+Rater_codes!$L$2:$L$127)/2-C27)^2)</f>
        <v>497.55555555555515</v>
      </c>
      <c r="D28" s="12">
        <f>2*SUMPRODUCT(((Consensus!$M$2:$M$127+Rater_codes!$T$2:$T$127)/2-D27)^2)</f>
        <v>538.46428571428623</v>
      </c>
    </row>
    <row r="29" spans="1:5" x14ac:dyDescent="0.35">
      <c r="A29" s="5" t="s">
        <v>215</v>
      </c>
      <c r="B29" s="12">
        <f>$B$5*((B25-B27)^2+(B26-B27)^2)</f>
        <v>13.81349206349207</v>
      </c>
      <c r="C29" s="12">
        <f>$B$5*((C25-C27)^2+(C26-C27)^2)</f>
        <v>6.3492063492063044E-2</v>
      </c>
      <c r="D29" s="12">
        <f>$B$5*((D25-D27)^2+(D26-D27)^2)</f>
        <v>15.75</v>
      </c>
    </row>
    <row r="30" spans="1:5" x14ac:dyDescent="0.35">
      <c r="A30" s="5" t="s">
        <v>216</v>
      </c>
      <c r="B30" s="12">
        <f>SUMPRODUCT((Rater_codes!$L$2:$L$127-B27)^2)+SUMPRODUCT((Rater_codes!$T$2:$T$127-B27)^2)</f>
        <v>592.80555555555588</v>
      </c>
      <c r="C30" s="12">
        <f>SUMPRODUCT((Consensus!$M$2:$M$127-C27)^2)+SUMPRODUCT((Rater_codes!$L$2:$L$127-C27)^2)</f>
        <v>518.55555555555532</v>
      </c>
      <c r="D30" s="12">
        <f>SUMPRODUCT((Consensus!$M$2:$M$127-D27)^2)+SUMPRODUCT((Rater_codes!$T$2:$T$127-D27)^2)</f>
        <v>600.96428571428658</v>
      </c>
    </row>
    <row r="31" spans="1:5" x14ac:dyDescent="0.35">
      <c r="A31" s="5" t="s">
        <v>217</v>
      </c>
      <c r="B31" s="12">
        <f>B30-B28-B29</f>
        <v>53.686507936508157</v>
      </c>
      <c r="C31" s="12">
        <f>C30-C28-C29</f>
        <v>20.936507936508107</v>
      </c>
      <c r="D31" s="12">
        <f>D30-D28-D29</f>
        <v>46.750000000000341</v>
      </c>
    </row>
    <row r="32" spans="1:5" x14ac:dyDescent="0.35">
      <c r="A32" s="5" t="s">
        <v>218</v>
      </c>
      <c r="B32" s="12">
        <f>B28/($B$5-1)</f>
        <v>4.2024444444444455</v>
      </c>
      <c r="C32" s="12">
        <f>C28/($B$5-1)</f>
        <v>3.9804444444444411</v>
      </c>
      <c r="D32" s="12">
        <f>D28/($B$5-1)</f>
        <v>4.3077142857142903</v>
      </c>
    </row>
    <row r="33" spans="1:4" x14ac:dyDescent="0.35">
      <c r="A33" s="5" t="s">
        <v>219</v>
      </c>
      <c r="B33" s="12">
        <f>B29</f>
        <v>13.81349206349207</v>
      </c>
      <c r="C33" s="12">
        <f>C29</f>
        <v>6.3492063492063044E-2</v>
      </c>
      <c r="D33" s="12">
        <f>D29</f>
        <v>15.75</v>
      </c>
    </row>
    <row r="34" spans="1:4" x14ac:dyDescent="0.35">
      <c r="A34" s="5" t="s">
        <v>220</v>
      </c>
      <c r="B34" s="12">
        <f>B31/($B$5-1)</f>
        <v>0.42949206349206526</v>
      </c>
      <c r="C34" s="12">
        <f>C31/($B$5-1)</f>
        <v>0.16749206349206486</v>
      </c>
      <c r="D34" s="12">
        <f>D31/($B$5-1)</f>
        <v>0.37400000000000272</v>
      </c>
    </row>
    <row r="35" spans="1:4" x14ac:dyDescent="0.35">
      <c r="A35" s="13" t="s">
        <v>199</v>
      </c>
      <c r="B35" s="14">
        <f>(B32-B34)/(B32+B34+2*(B33-B34)/$B$5)</f>
        <v>0.77883065308850641</v>
      </c>
      <c r="C35" s="14">
        <f>(C32-C34)/(C32+C34+2*(C33-C34)/$B$5)</f>
        <v>0.91960676221977156</v>
      </c>
      <c r="D35" s="14">
        <f>(D32-D34)/(D32+D34+2*(D33-D34)/$B$5)</f>
        <v>0.79859759477191505</v>
      </c>
    </row>
    <row r="36" spans="1:4" x14ac:dyDescent="0.35">
      <c r="A36" s="13" t="s">
        <v>200</v>
      </c>
      <c r="B36" s="14">
        <f>(B32-B34)/(B32+B34)</f>
        <v>0.81455183474291604</v>
      </c>
      <c r="C36" s="14">
        <f>(C32-C34)/(C32+C34)</f>
        <v>0.91924077759069278</v>
      </c>
      <c r="D36" s="14">
        <f>(D32-D34)/(D32+D34)</f>
        <v>0.84022946417673539</v>
      </c>
    </row>
    <row r="39" spans="1:4" x14ac:dyDescent="0.35">
      <c r="A39" s="4" t="s">
        <v>221</v>
      </c>
      <c r="B39" s="4" t="s">
        <v>222</v>
      </c>
    </row>
    <row r="40" spans="1:4" x14ac:dyDescent="0.35">
      <c r="A40" s="5" t="s">
        <v>223</v>
      </c>
      <c r="B40" s="5">
        <f>SUMPRODUCT((Rater_codes!$L$2:$L$127=Rater_codes!$T$2:$T$127)*(Consensus!$M$2:$M$127=Rater_codes!$L$2:$L$127))</f>
        <v>58</v>
      </c>
    </row>
    <row r="41" spans="1:4" x14ac:dyDescent="0.35">
      <c r="A41" s="5" t="s">
        <v>224</v>
      </c>
      <c r="B41" s="5">
        <f>SUMPRODUCT((Rater_codes!$L$2:$L$127=Rater_codes!$T$2:$T$127)*(Consensus!$M$2:$M$127&lt;&gt;Rater_codes!$L$2:$L$127))</f>
        <v>5</v>
      </c>
    </row>
    <row r="42" spans="1:4" x14ac:dyDescent="0.35">
      <c r="A42" s="5" t="s">
        <v>225</v>
      </c>
      <c r="B42" s="5">
        <f>SUMPRODUCT((Rater_codes!$L$2:$L$127&lt;&gt;Rater_codes!$T$2:$T$127)*(Consensus!$M$2:$M$127=Rater_codes!$L$2:$L$127))</f>
        <v>43</v>
      </c>
    </row>
    <row r="43" spans="1:4" x14ac:dyDescent="0.35">
      <c r="A43" s="5" t="s">
        <v>226</v>
      </c>
      <c r="B43" s="5">
        <f>SUMPRODUCT((Rater_codes!$L$2:$L$127&lt;&gt;Rater_codes!$T$2:$T$127)*(Consensus!$M$2:$M$127=Rater_codes!$T$2:$T$127))</f>
        <v>7</v>
      </c>
    </row>
    <row r="44" spans="1:4" x14ac:dyDescent="0.35">
      <c r="A44" s="5" t="s">
        <v>227</v>
      </c>
      <c r="B44" s="5">
        <f>SUMPRODUCT((Rater_codes!$L$2:$L$127&lt;&gt;Rater_codes!$T$2:$T$127)*(Consensus!$M$2:$M$127&lt;&gt;Rater_codes!$L$2:$L$127)*(Consensus!$M$2:$M$127&lt;&gt;Rater_codes!$T$2:$T$127))</f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README</vt:lpstr>
      <vt:lpstr>Consensus</vt:lpstr>
      <vt:lpstr>Rater_codes</vt:lpstr>
      <vt:lpstr>Agreement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Matteo Orsoni</cp:lastModifiedBy>
  <cp:revision>0</cp:revision>
  <dcterms:created xsi:type="dcterms:W3CDTF">2026-10-29T09:11:03Z</dcterms:created>
  <dcterms:modified xsi:type="dcterms:W3CDTF">2026-10-29T09:16:29Z</dcterms:modified>
  <dc:language>en-US</dc:language>
</cp:coreProperties>
</file>